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MC-SERVICE\Desktop\บริษัทพิชยมงคล\ประชาอุทิศ 13\การเบิกงวดเงิน\ระบบท่อปลวก\"/>
    </mc:Choice>
  </mc:AlternateContent>
  <xr:revisionPtr revIDLastSave="0" documentId="13_ncr:1_{031B9807-6C9F-4C22-AE23-332A570CBA7F}" xr6:coauthVersionLast="47" xr6:coauthVersionMax="47" xr10:uidLastSave="{00000000-0000-0000-0000-000000000000}"/>
  <bookViews>
    <workbookView xWindow="28680" yWindow="975" windowWidth="29040" windowHeight="15720" firstSheet="1" activeTab="2" xr2:uid="{00000000-000D-0000-FFFF-FFFF00000000}"/>
  </bookViews>
  <sheets>
    <sheet name="ใบรับเงินของผู้รับเงิน" sheetId="1" r:id="rId1"/>
    <sheet name="ใบสำคัญรับเงิน" sheetId="4" r:id="rId2"/>
    <sheet name="1" sheetId="6" r:id="rId3"/>
  </sheets>
  <definedNames>
    <definedName name="_xlnm.Print_Area" localSheetId="2">'1'!$A$1:$J$328</definedName>
    <definedName name="_xlnm.Print_Area" localSheetId="0">ใบรับเงินของผู้รับเงิน!$B$2:$I$36</definedName>
    <definedName name="_xlnm.Print_Area" localSheetId="1">ใบสำคัญรับเงิน!$B$2:$J$109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6" l="1"/>
  <c r="H29" i="6"/>
  <c r="H17" i="6"/>
  <c r="H16" i="6"/>
  <c r="H15" i="6"/>
  <c r="H5" i="6"/>
  <c r="H14" i="6"/>
  <c r="H28" i="6" l="1"/>
  <c r="H27" i="6"/>
  <c r="H26" i="6"/>
  <c r="H25" i="6"/>
  <c r="H24" i="6"/>
  <c r="H23" i="6"/>
  <c r="H22" i="6"/>
  <c r="H21" i="6"/>
  <c r="H20" i="6"/>
  <c r="H19" i="6"/>
  <c r="H18" i="6"/>
  <c r="I28" i="4"/>
  <c r="I29" i="4"/>
  <c r="I30" i="4"/>
  <c r="I31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B31" i="6" l="1"/>
  <c r="I33" i="4"/>
  <c r="C33" i="4" s="1"/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13" i="1"/>
  <c r="H31" i="1" l="1"/>
  <c r="C31" i="1" s="1"/>
</calcChain>
</file>

<file path=xl/sharedStrings.xml><?xml version="1.0" encoding="utf-8"?>
<sst xmlns="http://schemas.openxmlformats.org/spreadsheetml/2006/main" count="101" uniqueCount="62">
  <si>
    <t>เลขที่</t>
  </si>
  <si>
    <t>วันที่</t>
  </si>
  <si>
    <t>ชื่อกิจการ</t>
  </si>
  <si>
    <t>เลขประจำตัวผู้เสียภาษี</t>
  </si>
  <si>
    <t>ที่อยู่</t>
  </si>
  <si>
    <t>โทรศัพท์</t>
  </si>
  <si>
    <t>ได้รับเงินจาก</t>
  </si>
  <si>
    <t>ลำดับ</t>
  </si>
  <si>
    <t>รายการ (ชนิด/ชื่อ)</t>
  </si>
  <si>
    <t>จำนวน</t>
  </si>
  <si>
    <t>ราคาต่อหน่วย</t>
  </si>
  <si>
    <t>จำนวนเงิน</t>
  </si>
  <si>
    <t>ใบรับเงิน</t>
  </si>
  <si>
    <t xml:space="preserve"> (ผู้ขายสินค้า/ให้บริการ)</t>
  </si>
  <si>
    <t>ลงชื่อ</t>
  </si>
  <si>
    <t>ผู้รับเงิน</t>
  </si>
  <si>
    <t>(ผู้ซื้อ/ผู้รับบริการ) ดังรายการต่อไปนี้</t>
  </si>
  <si>
    <t>อยู่ที่บ้านเลขที่</t>
  </si>
  <si>
    <t>หมู่</t>
  </si>
  <si>
    <t>ถนน</t>
  </si>
  <si>
    <t>แขวง/ตำบล</t>
  </si>
  <si>
    <t xml:space="preserve">ข้าพเจ้า </t>
  </si>
  <si>
    <t>เขต/อำเภอ</t>
  </si>
  <si>
    <t>จังหวัด</t>
  </si>
  <si>
    <t>รายการ</t>
  </si>
  <si>
    <t>รวมเป็นเงิน (บาท)</t>
  </si>
  <si>
    <t>(ผู้เบิกจ่าย)       ตำแหน่ง</t>
  </si>
  <si>
    <t xml:space="preserve">รวมทั้งสิ้น </t>
  </si>
  <si>
    <r>
      <rPr>
        <sz val="12"/>
        <color theme="0"/>
        <rFont val="Leelawadee"/>
        <family val="2"/>
      </rPr>
      <t>ใบรับเงิน ตามมาตรา 105 ทวิ</t>
    </r>
    <r>
      <rPr>
        <sz val="12"/>
        <color rgb="FFFF0000"/>
        <rFont val="Leelawadee"/>
        <family val="2"/>
      </rPr>
      <t xml:space="preserve"> </t>
    </r>
    <r>
      <rPr>
        <sz val="12"/>
        <rFont val="Leelawadee"/>
        <family val="2"/>
      </rPr>
      <t>ใช้ในกรณี ผู้รับเงินยินยอมออกใบรับเงิน</t>
    </r>
  </si>
  <si>
    <t>ใบสำคัญจ่าย</t>
  </si>
  <si>
    <t xml:space="preserve"> (ผู้เบิกเงิน)</t>
  </si>
  <si>
    <t>บริษัท พิชยมงคล คอนสตรัคชั่น จำกัด</t>
  </si>
  <si>
    <t>(ผู้จ่ายเงิน/อนุมัติ) ดังรายการต่อไปนี้</t>
  </si>
  <si>
    <t>บจ.พิชยมงคล คอนสตรัคชั่น โดยแท้</t>
  </si>
  <si>
    <t>ข้าพเจ้า</t>
  </si>
  <si>
    <t>ผู้ตรวจสอบ</t>
  </si>
  <si>
    <t>ผู้อนุมัติ</t>
  </si>
  <si>
    <t>ช่องทางชำระเงิน :</t>
  </si>
  <si>
    <t>ไซต์งาน</t>
  </si>
  <si>
    <t xml:space="preserve">ขอรับรองว่า รายจ่ายข้างต้นนี้ข้าพเจ้าได้จ่ายไปในงานของทาง </t>
  </si>
  <si>
    <t>ผู้จัดทำ</t>
  </si>
  <si>
    <t>หมายเหตุ :  แนบบัตรประจำตัวประชาชนผู้รับเงินและใบเสร็จพร้อมสลิปโอนทุกใบ</t>
  </si>
  <si>
    <t>ราคา</t>
  </si>
  <si>
    <t>หักประกันผลงาน/หักณที่จ่าย</t>
  </si>
  <si>
    <t>นาย ณัฐกิจ เหมจินดา</t>
  </si>
  <si>
    <t>24/10/2567</t>
  </si>
  <si>
    <t>SE</t>
  </si>
  <si>
    <t>นาย มูบิน สาเมาะ</t>
  </si>
  <si>
    <t>-</t>
  </si>
  <si>
    <t>ประชาอุทิศ 13</t>
  </si>
  <si>
    <t>บริษัท โคฟเวอร์ เซอร์วิส (2020) จำกัด</t>
  </si>
  <si>
    <t>ค่าบริการกำจัดปลวก ระยะเวลา 1 ปี พื้นที่ 185 ตร.ม.</t>
  </si>
  <si>
    <t>VAT 7%</t>
  </si>
  <si>
    <t>รวมเป็นเงินก่อนหัก ณ ที่จ่าย</t>
  </si>
  <si>
    <t>หัก ณ ที่จ่าย 3% จากยอดก่อน VAT</t>
  </si>
  <si>
    <t>ยอดจ่ายสุทธิ</t>
  </si>
  <si>
    <t>947-2-05368-6</t>
  </si>
  <si>
    <t>109/259</t>
  </si>
  <si>
    <t>บางแก้ว</t>
  </si>
  <si>
    <t>บางพลี</t>
  </si>
  <si>
    <t>สมุทรปราการ</t>
  </si>
  <si>
    <t>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</si>
</sst>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1000000]0\ 0000\ 00000\ 00\ 0"/>
    <numFmt numFmtId="166" formatCode="#,##0.00_ ;[Red]\-\ #,##0.00_ ;"/>
  </numFmts>
  <fonts count="3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Leelawadee"/>
      <family val="2"/>
    </font>
    <font>
      <b/>
      <sz val="16"/>
      <color rgb="FFFF0000"/>
      <name val="Leelawadee"/>
      <family val="2"/>
    </font>
    <font>
      <sz val="11"/>
      <color theme="0"/>
      <name val="Leelawadee"/>
      <family val="2"/>
    </font>
    <font>
      <b/>
      <sz val="16"/>
      <color theme="9" tint="-0.249977111117893"/>
      <name val="Leelawadee"/>
      <family val="2"/>
    </font>
    <font>
      <sz val="11"/>
      <color rgb="FF0070C0"/>
      <name val="Leelawadee"/>
      <family val="2"/>
    </font>
    <font>
      <sz val="11"/>
      <name val="Leelawadee"/>
      <family val="2"/>
    </font>
    <font>
      <sz val="12"/>
      <name val="Leelawadee"/>
      <family val="2"/>
    </font>
    <font>
      <sz val="10.9"/>
      <name val="Leelawadee"/>
      <family val="2"/>
    </font>
    <font>
      <sz val="12"/>
      <color rgb="FF0070C0"/>
      <name val="Leelawadee"/>
      <family val="2"/>
    </font>
    <font>
      <sz val="10.9"/>
      <color rgb="FF0070C0"/>
      <name val="Leelawadee"/>
      <family val="2"/>
    </font>
    <font>
      <sz val="12"/>
      <color theme="1"/>
      <name val="Leelawadee"/>
      <family val="2"/>
    </font>
    <font>
      <sz val="10.9"/>
      <color theme="1"/>
      <name val="Leelawadee"/>
      <family val="2"/>
    </font>
    <font>
      <b/>
      <sz val="18"/>
      <color theme="1"/>
      <name val="Leelawadee"/>
      <family val="2"/>
    </font>
    <font>
      <sz val="12"/>
      <color theme="0"/>
      <name val="Leelawadee"/>
      <family val="2"/>
    </font>
    <font>
      <sz val="12"/>
      <color rgb="FFFF0000"/>
      <name val="Leelawadee"/>
      <family val="2"/>
    </font>
    <font>
      <sz val="11"/>
      <color rgb="FF9C6500"/>
      <name val="Calibri"/>
      <family val="2"/>
      <scheme val="minor"/>
    </font>
    <font>
      <sz val="10.9"/>
      <color rgb="FF00B050"/>
      <name val="Leelawadee"/>
      <family val="2"/>
    </font>
    <font>
      <sz val="11"/>
      <color theme="9" tint="-0.249977111117893"/>
      <name val="Leelawadee"/>
      <family val="2"/>
    </font>
    <font>
      <sz val="20"/>
      <color rgb="FF0070C0"/>
      <name val="TH Sarabun New"/>
      <family val="2"/>
    </font>
    <font>
      <sz val="18"/>
      <color theme="1"/>
      <name val="TH Sarabun New"/>
      <family val="2"/>
    </font>
    <font>
      <sz val="18"/>
      <color rgb="FF0070C0"/>
      <name val="TH Sarabun New"/>
      <family val="2"/>
    </font>
    <font>
      <b/>
      <sz val="18"/>
      <color rgb="FFFF0000"/>
      <name val="TH Sarabun New"/>
      <family val="2"/>
    </font>
    <font>
      <b/>
      <sz val="18"/>
      <color theme="9" tint="-0.249977111117893"/>
      <name val="TH Sarabun New"/>
      <family val="2"/>
    </font>
    <font>
      <sz val="18"/>
      <color theme="0"/>
      <name val="TH Sarabun New"/>
      <family val="2"/>
    </font>
    <font>
      <sz val="18"/>
      <name val="TH Sarabun New"/>
      <family val="2"/>
    </font>
    <font>
      <sz val="18"/>
      <color rgb="FF00B050"/>
      <name val="TH Sarabun New"/>
      <family val="2"/>
    </font>
    <font>
      <sz val="18"/>
      <color theme="9" tint="-0.249977111117893"/>
      <name val="TH Sarabun New"/>
      <family val="2"/>
    </font>
    <font>
      <b/>
      <sz val="36"/>
      <color theme="1"/>
      <name val="TH Sarabun New"/>
      <family val="2"/>
    </font>
    <font>
      <b/>
      <sz val="18"/>
      <color rgb="FF0070C0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</fills>
  <borders count="30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7" fillId="7" borderId="0" applyNumberFormat="0" applyBorder="0" applyAlignment="0" applyProtection="0"/>
    <xf numFmtId="44" fontId="1" fillId="0" borderId="0" applyFont="0" applyFill="0" applyBorder="0" applyAlignment="0" applyProtection="0"/>
  </cellStyleXfs>
  <cellXfs count="150">
    <xf numFmtId="0" fontId="0" fillId="0" borderId="0" xfId="0"/>
    <xf numFmtId="0" fontId="2" fillId="2" borderId="0" xfId="0" applyFont="1" applyFill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49" fontId="6" fillId="2" borderId="21" xfId="1" applyNumberFormat="1" applyFont="1" applyFill="1" applyBorder="1" applyAlignment="1" applyProtection="1">
      <alignment horizontal="center" vertical="center"/>
      <protection locked="0"/>
    </xf>
    <xf numFmtId="164" fontId="6" fillId="2" borderId="21" xfId="1" applyFont="1" applyFill="1" applyBorder="1" applyAlignment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49" fontId="6" fillId="2" borderId="13" xfId="1" applyNumberFormat="1" applyFont="1" applyFill="1" applyBorder="1" applyAlignment="1" applyProtection="1">
      <alignment horizontal="center" vertical="center"/>
      <protection locked="0"/>
    </xf>
    <xf numFmtId="164" fontId="6" fillId="2" borderId="13" xfId="1" applyFont="1" applyFill="1" applyBorder="1" applyAlignment="1" applyProtection="1">
      <alignment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49" fontId="6" fillId="2" borderId="16" xfId="1" applyNumberFormat="1" applyFont="1" applyFill="1" applyBorder="1" applyAlignment="1" applyProtection="1">
      <alignment horizontal="center" vertical="center"/>
      <protection locked="0"/>
    </xf>
    <xf numFmtId="164" fontId="6" fillId="2" borderId="16" xfId="1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left" vertical="center" indent="1"/>
      <protection locked="0"/>
    </xf>
    <xf numFmtId="49" fontId="6" fillId="2" borderId="4" xfId="1" applyNumberFormat="1" applyFont="1" applyFill="1" applyBorder="1" applyAlignment="1" applyProtection="1">
      <alignment horizontal="center" vertical="center"/>
      <protection locked="0"/>
    </xf>
    <xf numFmtId="164" fontId="6" fillId="2" borderId="6" xfId="1" applyFont="1" applyFill="1" applyBorder="1" applyAlignment="1" applyProtection="1">
      <alignment vertical="center"/>
      <protection locked="0"/>
    </xf>
    <xf numFmtId="164" fontId="6" fillId="2" borderId="4" xfId="1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164" fontId="7" fillId="4" borderId="7" xfId="1" applyFont="1" applyFill="1" applyBorder="1" applyAlignment="1" applyProtection="1">
      <alignment vertical="center"/>
    </xf>
    <xf numFmtId="166" fontId="6" fillId="2" borderId="21" xfId="1" applyNumberFormat="1" applyFont="1" applyFill="1" applyBorder="1" applyAlignment="1" applyProtection="1">
      <alignment vertical="center"/>
    </xf>
    <xf numFmtId="166" fontId="6" fillId="2" borderId="13" xfId="1" applyNumberFormat="1" applyFont="1" applyFill="1" applyBorder="1" applyAlignment="1" applyProtection="1">
      <alignment vertical="center"/>
    </xf>
    <xf numFmtId="166" fontId="6" fillId="2" borderId="16" xfId="1" applyNumberFormat="1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 indent="4"/>
      <protection locked="0"/>
    </xf>
    <xf numFmtId="0" fontId="6" fillId="2" borderId="6" xfId="0" applyFont="1" applyFill="1" applyBorder="1" applyAlignment="1" applyProtection="1">
      <alignment horizontal="left" vertical="center" indent="1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14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 vertical="center" indent="7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9"/>
    </xf>
    <xf numFmtId="0" fontId="2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Protection="1">
      <protection locked="0"/>
    </xf>
    <xf numFmtId="0" fontId="12" fillId="2" borderId="0" xfId="0" applyFont="1" applyFill="1" applyAlignment="1">
      <alignment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5" fillId="5" borderId="0" xfId="0" applyFont="1" applyFill="1" applyAlignment="1">
      <alignment vertical="center"/>
    </xf>
    <xf numFmtId="0" fontId="2" fillId="5" borderId="0" xfId="0" applyFont="1" applyFill="1" applyProtection="1">
      <protection locked="0"/>
    </xf>
    <xf numFmtId="0" fontId="2" fillId="5" borderId="0" xfId="0" applyFont="1" applyFill="1" applyAlignment="1" applyProtection="1">
      <alignment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6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6" borderId="0" xfId="0" applyFont="1" applyFill="1" applyProtection="1">
      <protection locked="0"/>
    </xf>
    <xf numFmtId="0" fontId="2" fillId="6" borderId="0" xfId="0" applyFont="1" applyFill="1" applyAlignment="1" applyProtection="1">
      <alignment vertical="center"/>
      <protection locked="0"/>
    </xf>
    <xf numFmtId="0" fontId="2" fillId="6" borderId="0" xfId="0" applyFont="1" applyFill="1" applyAlignment="1" applyProtection="1">
      <alignment horizontal="center" vertical="center"/>
      <protection locked="0"/>
    </xf>
    <xf numFmtId="0" fontId="17" fillId="7" borderId="1" xfId="2" applyNumberFormat="1" applyBorder="1" applyAlignment="1" applyProtection="1">
      <alignment horizontal="center" vertical="center"/>
      <protection locked="0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6" fillId="2" borderId="22" xfId="0" applyFont="1" applyFill="1" applyBorder="1" applyAlignment="1" applyProtection="1">
      <alignment vertical="center"/>
      <protection locked="0"/>
    </xf>
    <xf numFmtId="0" fontId="6" fillId="2" borderId="22" xfId="0" applyFont="1" applyFill="1" applyBorder="1" applyAlignment="1" applyProtection="1">
      <alignment horizontal="left" vertical="center" indent="1"/>
      <protection locked="0"/>
    </xf>
    <xf numFmtId="9" fontId="4" fillId="5" borderId="6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14" fontId="20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2" borderId="0" xfId="0" applyFont="1" applyFill="1" applyAlignment="1">
      <alignment horizontal="center" vertical="center"/>
    </xf>
    <xf numFmtId="0" fontId="22" fillId="2" borderId="1" xfId="0" applyFont="1" applyFill="1" applyBorder="1" applyAlignment="1" applyProtection="1">
      <alignment horizontal="center" vertical="center"/>
      <protection locked="0"/>
    </xf>
    <xf numFmtId="0" fontId="23" fillId="2" borderId="0" xfId="0" applyFont="1" applyFill="1" applyAlignment="1" applyProtection="1">
      <alignment vertical="center"/>
      <protection locked="0"/>
    </xf>
    <xf numFmtId="14" fontId="22" fillId="2" borderId="1" xfId="0" applyNumberFormat="1" applyFont="1" applyFill="1" applyBorder="1" applyAlignment="1" applyProtection="1">
      <alignment horizontal="center" vertical="center"/>
      <protection locked="0"/>
    </xf>
    <xf numFmtId="0" fontId="24" fillId="2" borderId="0" xfId="0" applyFont="1" applyFill="1" applyAlignment="1" applyProtection="1">
      <alignment vertical="center"/>
      <protection locked="0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 applyProtection="1">
      <alignment horizontal="center" vertical="center"/>
      <protection locked="0"/>
    </xf>
    <xf numFmtId="0" fontId="21" fillId="2" borderId="0" xfId="0" applyFont="1" applyFill="1" applyAlignment="1">
      <alignment horizontal="left" vertical="center"/>
    </xf>
    <xf numFmtId="0" fontId="21" fillId="2" borderId="0" xfId="0" applyFont="1" applyFill="1" applyAlignment="1" applyProtection="1">
      <alignment horizontal="left" vertical="center" indent="4"/>
      <protection locked="0"/>
    </xf>
    <xf numFmtId="0" fontId="21" fillId="0" borderId="0" xfId="0" applyFont="1" applyAlignment="1" applyProtection="1">
      <alignment vertical="center"/>
      <protection locked="0"/>
    </xf>
    <xf numFmtId="0" fontId="25" fillId="5" borderId="23" xfId="0" applyFont="1" applyFill="1" applyBorder="1" applyAlignment="1">
      <alignment horizontal="center" vertical="center"/>
    </xf>
    <xf numFmtId="9" fontId="25" fillId="5" borderId="6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center" vertical="center"/>
      <protection locked="0"/>
    </xf>
    <xf numFmtId="4" fontId="22" fillId="2" borderId="22" xfId="3" applyNumberFormat="1" applyFont="1" applyFill="1" applyBorder="1" applyAlignment="1" applyProtection="1">
      <alignment horizontal="center" vertical="center"/>
      <protection locked="0"/>
    </xf>
    <xf numFmtId="0" fontId="22" fillId="2" borderId="22" xfId="0" applyFont="1" applyFill="1" applyBorder="1" applyAlignment="1" applyProtection="1">
      <alignment vertical="center"/>
      <protection locked="0"/>
    </xf>
    <xf numFmtId="0" fontId="22" fillId="2" borderId="22" xfId="0" applyFont="1" applyFill="1" applyBorder="1" applyAlignment="1" applyProtection="1">
      <alignment horizontal="left" vertical="center" indent="1"/>
      <protection locked="0"/>
    </xf>
    <xf numFmtId="0" fontId="26" fillId="2" borderId="0" xfId="0" applyFont="1" applyFill="1" applyAlignment="1" applyProtection="1">
      <alignment vertical="center"/>
      <protection locked="0"/>
    </xf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vertical="center"/>
    </xf>
    <xf numFmtId="0" fontId="21" fillId="2" borderId="0" xfId="0" applyFont="1" applyFill="1" applyProtection="1">
      <protection locked="0"/>
    </xf>
    <xf numFmtId="0" fontId="26" fillId="2" borderId="22" xfId="0" applyFont="1" applyFill="1" applyBorder="1" applyAlignment="1">
      <alignment horizontal="center" vertical="center"/>
    </xf>
    <xf numFmtId="4" fontId="22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 applyProtection="1">
      <alignment vertical="center"/>
      <protection locked="0"/>
    </xf>
    <xf numFmtId="0" fontId="22" fillId="2" borderId="0" xfId="0" applyFont="1" applyFill="1" applyAlignment="1" applyProtection="1">
      <alignment horizontal="left" vertical="center" indent="1"/>
      <protection locked="0"/>
    </xf>
    <xf numFmtId="164" fontId="22" fillId="2" borderId="0" xfId="1" applyFont="1" applyFill="1" applyBorder="1" applyAlignment="1" applyProtection="1">
      <alignment vertical="center"/>
      <protection locked="0"/>
    </xf>
    <xf numFmtId="0" fontId="30" fillId="2" borderId="1" xfId="0" applyFont="1" applyFill="1" applyBorder="1" applyAlignment="1" applyProtection="1">
      <alignment horizontal="center" vertical="center"/>
      <protection locked="0"/>
    </xf>
    <xf numFmtId="165" fontId="30" fillId="2" borderId="3" xfId="0" applyNumberFormat="1" applyFont="1" applyFill="1" applyBorder="1" applyAlignment="1" applyProtection="1">
      <alignment horizontal="center" vertical="center"/>
      <protection locked="0"/>
    </xf>
    <xf numFmtId="0" fontId="29" fillId="2" borderId="0" xfId="0" applyFont="1" applyFill="1" applyAlignment="1">
      <alignment horizontal="center" vertical="center"/>
    </xf>
    <xf numFmtId="0" fontId="30" fillId="2" borderId="1" xfId="0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 applyProtection="1">
      <alignment horizontal="left" vertical="center"/>
      <protection locked="0"/>
    </xf>
    <xf numFmtId="9" fontId="25" fillId="5" borderId="6" xfId="0" applyNumberFormat="1" applyFont="1" applyFill="1" applyBorder="1" applyAlignment="1">
      <alignment horizontal="center" vertical="center"/>
    </xf>
    <xf numFmtId="9" fontId="25" fillId="5" borderId="26" xfId="0" applyNumberFormat="1" applyFont="1" applyFill="1" applyBorder="1" applyAlignment="1">
      <alignment horizontal="center" vertical="center"/>
    </xf>
    <xf numFmtId="0" fontId="25" fillId="5" borderId="23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2" fillId="2" borderId="0" xfId="0" applyFont="1" applyFill="1" applyAlignment="1" applyProtection="1">
      <alignment horizontal="center" vertical="center"/>
      <protection locked="0"/>
    </xf>
    <xf numFmtId="14" fontId="22" fillId="2" borderId="0" xfId="0" applyNumberFormat="1" applyFont="1" applyFill="1" applyAlignment="1" applyProtection="1">
      <alignment horizontal="center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9" fontId="22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22" xfId="0" applyFont="1" applyFill="1" applyBorder="1" applyAlignment="1" applyProtection="1">
      <alignment horizontal="center" vertical="center"/>
      <protection locked="0"/>
    </xf>
    <xf numFmtId="164" fontId="22" fillId="2" borderId="22" xfId="1" applyFont="1" applyFill="1" applyBorder="1" applyAlignment="1" applyProtection="1">
      <alignment horizontal="right" vertical="center"/>
      <protection locked="0"/>
    </xf>
    <xf numFmtId="164" fontId="22" fillId="2" borderId="22" xfId="1" applyFont="1" applyFill="1" applyBorder="1" applyAlignment="1" applyProtection="1">
      <alignment vertical="center"/>
      <protection locked="0"/>
    </xf>
    <xf numFmtId="0" fontId="21" fillId="4" borderId="22" xfId="0" applyFont="1" applyFill="1" applyBorder="1" applyAlignment="1">
      <alignment horizontal="center" vertical="center"/>
    </xf>
    <xf numFmtId="0" fontId="21" fillId="4" borderId="22" xfId="0" applyFont="1" applyFill="1" applyBorder="1"/>
    <xf numFmtId="164" fontId="21" fillId="4" borderId="22" xfId="1" applyFont="1" applyFill="1" applyBorder="1" applyAlignment="1" applyProtection="1">
      <alignment vertical="center"/>
    </xf>
    <xf numFmtId="0" fontId="22" fillId="2" borderId="28" xfId="0" applyFont="1" applyFill="1" applyBorder="1" applyAlignment="1" applyProtection="1">
      <alignment horizontal="center" vertical="center"/>
      <protection locked="0"/>
    </xf>
    <xf numFmtId="164" fontId="22" fillId="2" borderId="28" xfId="1" applyFont="1" applyFill="1" applyBorder="1" applyAlignment="1" applyProtection="1">
      <alignment vertical="center"/>
      <protection locked="0"/>
    </xf>
    <xf numFmtId="0" fontId="14" fillId="2" borderId="0" xfId="0" applyFont="1" applyFill="1" applyAlignment="1">
      <alignment horizontal="center" vertical="center"/>
    </xf>
    <xf numFmtId="0" fontId="6" fillId="2" borderId="19" xfId="0" applyFont="1" applyFill="1" applyBorder="1" applyAlignment="1" applyProtection="1">
      <alignment horizontal="left" vertical="center" indent="1"/>
      <protection locked="0"/>
    </xf>
    <xf numFmtId="0" fontId="6" fillId="2" borderId="20" xfId="0" applyFont="1" applyFill="1" applyBorder="1" applyAlignment="1" applyProtection="1">
      <alignment horizontal="left" vertical="center" indent="1"/>
      <protection locked="0"/>
    </xf>
    <xf numFmtId="0" fontId="6" fillId="2" borderId="14" xfId="0" applyFont="1" applyFill="1" applyBorder="1" applyAlignment="1" applyProtection="1">
      <alignment horizontal="left" vertical="center" indent="1"/>
      <protection locked="0"/>
    </xf>
    <xf numFmtId="0" fontId="6" fillId="2" borderId="15" xfId="0" applyFont="1" applyFill="1" applyBorder="1" applyAlignment="1" applyProtection="1">
      <alignment horizontal="left" vertical="center" indent="1"/>
      <protection locked="0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left" vertical="center" indent="1"/>
      <protection locked="0"/>
    </xf>
    <xf numFmtId="0" fontId="6" fillId="2" borderId="18" xfId="0" applyFont="1" applyFill="1" applyBorder="1" applyAlignment="1" applyProtection="1">
      <alignment horizontal="left" vertical="center" indent="1"/>
      <protection locked="0"/>
    </xf>
    <xf numFmtId="164" fontId="6" fillId="2" borderId="19" xfId="1" applyFont="1" applyFill="1" applyBorder="1" applyAlignment="1" applyProtection="1">
      <alignment vertical="center"/>
      <protection locked="0"/>
    </xf>
    <xf numFmtId="164" fontId="6" fillId="2" borderId="20" xfId="1" applyFont="1" applyFill="1" applyBorder="1" applyAlignment="1" applyProtection="1">
      <alignment vertical="center"/>
      <protection locked="0"/>
    </xf>
    <xf numFmtId="165" fontId="6" fillId="2" borderId="3" xfId="0" applyNumberFormat="1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9" fontId="4" fillId="5" borderId="4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  <protection locked="0"/>
    </xf>
    <xf numFmtId="164" fontId="2" fillId="4" borderId="8" xfId="1" applyFont="1" applyFill="1" applyBorder="1" applyAlignment="1" applyProtection="1">
      <alignment vertical="center"/>
    </xf>
    <xf numFmtId="164" fontId="2" fillId="4" borderId="10" xfId="1" applyFont="1" applyFill="1" applyBorder="1" applyAlignment="1" applyProtection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" fillId="4" borderId="9" xfId="0" applyFont="1" applyFill="1" applyBorder="1"/>
    <xf numFmtId="0" fontId="2" fillId="4" borderId="10" xfId="0" applyFont="1" applyFill="1" applyBorder="1"/>
    <xf numFmtId="9" fontId="4" fillId="5" borderId="25" xfId="0" applyNumberFormat="1" applyFont="1" applyFill="1" applyBorder="1" applyAlignment="1">
      <alignment horizontal="center" vertical="center"/>
    </xf>
    <xf numFmtId="9" fontId="6" fillId="2" borderId="24" xfId="0" applyNumberFormat="1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urrency" xfId="3" builtinId="4"/>
    <cellStyle name="Neutral" xfId="2" builtinId="28"/>
    <cellStyle name="Normal" xfId="0" builtinId="0"/>
  </cellStyles>
  <dxfs count="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colors>
    <mruColors>
      <color rgb="FFFF6600"/>
      <color rgb="FFFFFFCC"/>
      <color rgb="FF539638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4</xdr:col>
      <xdr:colOff>733425</xdr:colOff>
      <xdr:row>8</xdr:row>
      <xdr:rowOff>76962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67E187-EB4B-42DF-8620-B5F36C73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800350" cy="2296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56028</xdr:colOff>
      <xdr:row>0</xdr:row>
      <xdr:rowOff>0</xdr:rowOff>
    </xdr:from>
    <xdr:to>
      <xdr:col>3</xdr:col>
      <xdr:colOff>1134659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8C574-E046-4016-B419-9487415DD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51" t="27088" r="16594" b="29367"/>
        <a:stretch>
          <a:fillRect/>
        </a:stretch>
      </xdr:blipFill>
      <xdr:spPr>
        <a:xfrm>
          <a:off x="56028" y="0"/>
          <a:ext cx="2815543" cy="1658471"/>
        </a:xfrm>
        <a:prstGeom prst="rect">
          <a:avLst/>
        </a:prstGeom>
      </xdr:spPr>
    </xdr:pic>
    <xdr:clientData/>
  </xdr:twoCellAnchor>
  <xdr:twoCellAnchor editAs="oneCell">
    <xdr:from>
      <xdr:col>1</xdr:col>
      <xdr:colOff>236630</xdr:colOff>
      <xdr:row>45</xdr:row>
      <xdr:rowOff>261939</xdr:rowOff>
    </xdr:from>
    <xdr:to>
      <xdr:col>7</xdr:col>
      <xdr:colOff>415697</xdr:colOff>
      <xdr:row>72</xdr:row>
      <xdr:rowOff>102736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B8B2AC-1AFB-BF57-4C88-016F3B7D7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318" y="13120689"/>
          <a:ext cx="9156379" cy="8841922"/>
        </a:xfrm>
        <a:prstGeom prst="rect">
          <a:avLst/>
        </a:prstGeom>
      </xdr:spPr>
    </xdr:pic>
    <xdr:clientData/>
  </xdr:twoCellAnchor>
  <xdr:twoCellAnchor editAs="oneCell">
    <xdr:from>
      <xdr:col>1</xdr:col>
      <xdr:colOff>472848</xdr:colOff>
      <xdr:row>84</xdr:row>
      <xdr:rowOff>34017</xdr:rowOff>
    </xdr:from>
    <xdr:to>
      <xdr:col>8</xdr:col>
      <xdr:colOff>460565</xdr:colOff>
      <xdr:row>119</xdr:row>
      <xdr:rowOff>10205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FE7D6D-7D80-41F5-130E-F1DEB3B6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134" y="25819553"/>
          <a:ext cx="9458288" cy="11882438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138</xdr:row>
      <xdr:rowOff>17009</xdr:rowOff>
    </xdr:from>
    <xdr:to>
      <xdr:col>8</xdr:col>
      <xdr:colOff>344677</xdr:colOff>
      <xdr:row>154</xdr:row>
      <xdr:rowOff>88447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3D77FB-613C-7110-229A-03FA5B93E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973" y="44172188"/>
          <a:ext cx="9648561" cy="5514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37"/>
  <sheetViews>
    <sheetView workbookViewId="0">
      <selection activeCell="D16" sqref="D16:E16"/>
    </sheetView>
  </sheetViews>
  <sheetFormatPr defaultColWidth="9" defaultRowHeight="15"/>
  <cols>
    <col min="1" max="1" width="4.42578125" style="47" customWidth="1"/>
    <col min="2" max="2" width="2.42578125" style="47" customWidth="1"/>
    <col min="3" max="3" width="9.5703125" style="47" customWidth="1"/>
    <col min="4" max="4" width="7.7109375" style="47" customWidth="1"/>
    <col min="5" max="5" width="33.28515625" style="47" customWidth="1"/>
    <col min="6" max="6" width="8.28515625" style="47" customWidth="1"/>
    <col min="7" max="8" width="15.42578125" style="47" customWidth="1"/>
    <col min="9" max="9" width="2.42578125" style="47" customWidth="1"/>
    <col min="10" max="10" width="4.140625" style="47" customWidth="1"/>
    <col min="11" max="16384" width="9" style="47"/>
  </cols>
  <sheetData>
    <row r="1" spans="1:11" ht="29.25" customHeight="1">
      <c r="A1" s="57" t="s">
        <v>28</v>
      </c>
      <c r="B1" s="58"/>
      <c r="C1" s="59"/>
      <c r="D1" s="59"/>
      <c r="E1" s="59"/>
      <c r="F1" s="59"/>
      <c r="G1" s="59"/>
      <c r="H1" s="59"/>
      <c r="I1" s="59"/>
      <c r="J1" s="59"/>
    </row>
    <row r="2" spans="1:11" s="1" customFormat="1">
      <c r="A2" s="60"/>
      <c r="J2" s="60"/>
    </row>
    <row r="3" spans="1:11" s="1" customFormat="1" ht="34.5" customHeight="1">
      <c r="A3" s="60"/>
      <c r="C3" s="121" t="s">
        <v>12</v>
      </c>
      <c r="D3" s="121"/>
      <c r="E3" s="121"/>
      <c r="F3" s="121"/>
      <c r="G3" s="121"/>
      <c r="H3" s="121"/>
      <c r="J3" s="60"/>
    </row>
    <row r="4" spans="1:11" s="1" customFormat="1" ht="21.95" customHeight="1">
      <c r="A4" s="60"/>
      <c r="G4" s="33" t="s">
        <v>0</v>
      </c>
      <c r="H4" s="62"/>
      <c r="J4" s="60"/>
    </row>
    <row r="5" spans="1:11" s="1" customFormat="1" ht="21.95" customHeight="1">
      <c r="A5" s="60"/>
      <c r="G5" s="33" t="s">
        <v>1</v>
      </c>
      <c r="H5" s="3"/>
      <c r="J5" s="60"/>
      <c r="K5" s="4"/>
    </row>
    <row r="6" spans="1:11" s="1" customFormat="1" ht="21.95" customHeight="1">
      <c r="A6" s="60"/>
      <c r="J6" s="60"/>
    </row>
    <row r="7" spans="1:11" s="1" customFormat="1" ht="21.95" customHeight="1">
      <c r="A7" s="60"/>
      <c r="C7" s="34" t="s">
        <v>2</v>
      </c>
      <c r="D7" s="128"/>
      <c r="E7" s="128"/>
      <c r="F7" s="34" t="s">
        <v>13</v>
      </c>
      <c r="J7" s="60"/>
    </row>
    <row r="8" spans="1:11" s="1" customFormat="1" ht="21.95" customHeight="1">
      <c r="A8" s="60"/>
      <c r="C8" s="34" t="s">
        <v>3</v>
      </c>
      <c r="E8" s="5"/>
      <c r="F8" s="35" t="s">
        <v>5</v>
      </c>
      <c r="G8" s="46"/>
      <c r="J8" s="60"/>
    </row>
    <row r="9" spans="1:11" s="1" customFormat="1" ht="21.95" customHeight="1">
      <c r="A9" s="60"/>
      <c r="C9" s="34" t="s">
        <v>4</v>
      </c>
      <c r="D9" s="128"/>
      <c r="E9" s="128"/>
      <c r="F9" s="128"/>
      <c r="G9" s="128"/>
      <c r="J9" s="60"/>
    </row>
    <row r="10" spans="1:11" s="1" customFormat="1" ht="21.75" customHeight="1">
      <c r="A10" s="60"/>
      <c r="C10" s="34" t="s">
        <v>6</v>
      </c>
      <c r="D10" s="129"/>
      <c r="E10" s="129"/>
      <c r="F10" s="34" t="s">
        <v>16</v>
      </c>
      <c r="J10" s="60"/>
    </row>
    <row r="11" spans="1:11" s="1" customFormat="1" ht="10.5" customHeight="1">
      <c r="A11" s="60"/>
      <c r="J11" s="60"/>
    </row>
    <row r="12" spans="1:11" s="6" customFormat="1" ht="27" customHeight="1" thickBot="1">
      <c r="A12" s="61"/>
      <c r="C12" s="39" t="s">
        <v>7</v>
      </c>
      <c r="D12" s="126" t="s">
        <v>8</v>
      </c>
      <c r="E12" s="127"/>
      <c r="F12" s="39" t="s">
        <v>9</v>
      </c>
      <c r="G12" s="39" t="s">
        <v>10</v>
      </c>
      <c r="H12" s="40" t="s">
        <v>11</v>
      </c>
      <c r="J12" s="61"/>
    </row>
    <row r="13" spans="1:11" s="1" customFormat="1" ht="21.95" customHeight="1" thickTop="1">
      <c r="A13" s="60"/>
      <c r="C13" s="7"/>
      <c r="D13" s="122"/>
      <c r="E13" s="123"/>
      <c r="F13" s="8"/>
      <c r="G13" s="9"/>
      <c r="H13" s="23">
        <f>ROUND(F13*G13,2)</f>
        <v>0</v>
      </c>
      <c r="J13" s="60"/>
    </row>
    <row r="14" spans="1:11" s="1" customFormat="1" ht="21.95" customHeight="1">
      <c r="A14" s="60"/>
      <c r="C14" s="10"/>
      <c r="D14" s="124"/>
      <c r="E14" s="125"/>
      <c r="F14" s="11"/>
      <c r="G14" s="12"/>
      <c r="H14" s="24">
        <f t="shared" ref="H14:H29" si="0">ROUND(F14*G14,2)</f>
        <v>0</v>
      </c>
      <c r="J14" s="60"/>
    </row>
    <row r="15" spans="1:11" s="1" customFormat="1" ht="21.95" customHeight="1">
      <c r="A15" s="60"/>
      <c r="C15" s="10"/>
      <c r="D15" s="124"/>
      <c r="E15" s="125"/>
      <c r="F15" s="11"/>
      <c r="G15" s="12"/>
      <c r="H15" s="24">
        <f t="shared" si="0"/>
        <v>0</v>
      </c>
      <c r="J15" s="60"/>
    </row>
    <row r="16" spans="1:11" s="1" customFormat="1" ht="21.95" customHeight="1">
      <c r="A16" s="60"/>
      <c r="C16" s="10"/>
      <c r="D16" s="124"/>
      <c r="E16" s="125"/>
      <c r="F16" s="11"/>
      <c r="G16" s="12"/>
      <c r="H16" s="24">
        <f t="shared" si="0"/>
        <v>0</v>
      </c>
      <c r="J16" s="60"/>
    </row>
    <row r="17" spans="1:10" s="1" customFormat="1" ht="21.95" customHeight="1">
      <c r="A17" s="60"/>
      <c r="C17" s="10"/>
      <c r="D17" s="124"/>
      <c r="E17" s="125"/>
      <c r="F17" s="11"/>
      <c r="G17" s="12"/>
      <c r="H17" s="24">
        <f t="shared" si="0"/>
        <v>0</v>
      </c>
      <c r="J17" s="60"/>
    </row>
    <row r="18" spans="1:10" s="1" customFormat="1" ht="21.95" customHeight="1">
      <c r="A18" s="60"/>
      <c r="C18" s="10"/>
      <c r="D18" s="124"/>
      <c r="E18" s="125"/>
      <c r="F18" s="11"/>
      <c r="G18" s="12"/>
      <c r="H18" s="24">
        <f t="shared" si="0"/>
        <v>0</v>
      </c>
      <c r="J18" s="60"/>
    </row>
    <row r="19" spans="1:10" s="1" customFormat="1" ht="21.95" customHeight="1">
      <c r="A19" s="60"/>
      <c r="C19" s="10"/>
      <c r="D19" s="124"/>
      <c r="E19" s="125"/>
      <c r="F19" s="11"/>
      <c r="G19" s="12"/>
      <c r="H19" s="24">
        <f t="shared" si="0"/>
        <v>0</v>
      </c>
      <c r="J19" s="60"/>
    </row>
    <row r="20" spans="1:10" s="1" customFormat="1" ht="21.95" customHeight="1">
      <c r="A20" s="60"/>
      <c r="C20" s="10"/>
      <c r="D20" s="124"/>
      <c r="E20" s="125"/>
      <c r="F20" s="11"/>
      <c r="G20" s="12"/>
      <c r="H20" s="24">
        <f t="shared" si="0"/>
        <v>0</v>
      </c>
      <c r="J20" s="60"/>
    </row>
    <row r="21" spans="1:10" s="1" customFormat="1" ht="21.95" customHeight="1">
      <c r="A21" s="60"/>
      <c r="C21" s="10"/>
      <c r="D21" s="124"/>
      <c r="E21" s="125"/>
      <c r="F21" s="11"/>
      <c r="G21" s="12"/>
      <c r="H21" s="24">
        <f t="shared" si="0"/>
        <v>0</v>
      </c>
      <c r="J21" s="60"/>
    </row>
    <row r="22" spans="1:10" s="1" customFormat="1" ht="21.95" customHeight="1">
      <c r="A22" s="60"/>
      <c r="C22" s="10"/>
      <c r="D22" s="124"/>
      <c r="E22" s="125"/>
      <c r="F22" s="11"/>
      <c r="G22" s="12"/>
      <c r="H22" s="24">
        <f t="shared" si="0"/>
        <v>0</v>
      </c>
      <c r="J22" s="60"/>
    </row>
    <row r="23" spans="1:10" s="1" customFormat="1" ht="21.95" customHeight="1">
      <c r="A23" s="60"/>
      <c r="C23" s="10"/>
      <c r="D23" s="124"/>
      <c r="E23" s="125"/>
      <c r="F23" s="11"/>
      <c r="G23" s="12"/>
      <c r="H23" s="24">
        <f t="shared" si="0"/>
        <v>0</v>
      </c>
      <c r="J23" s="60"/>
    </row>
    <row r="24" spans="1:10" s="1" customFormat="1" ht="21.95" customHeight="1">
      <c r="A24" s="60"/>
      <c r="C24" s="10"/>
      <c r="D24" s="124"/>
      <c r="E24" s="125"/>
      <c r="F24" s="11"/>
      <c r="G24" s="12"/>
      <c r="H24" s="24">
        <f t="shared" si="0"/>
        <v>0</v>
      </c>
      <c r="J24" s="60"/>
    </row>
    <row r="25" spans="1:10" s="1" customFormat="1" ht="21.95" customHeight="1">
      <c r="A25" s="60"/>
      <c r="C25" s="10"/>
      <c r="D25" s="124"/>
      <c r="E25" s="125"/>
      <c r="F25" s="11"/>
      <c r="G25" s="12"/>
      <c r="H25" s="24">
        <f t="shared" si="0"/>
        <v>0</v>
      </c>
      <c r="J25" s="60"/>
    </row>
    <row r="26" spans="1:10" s="1" customFormat="1" ht="21.95" customHeight="1">
      <c r="A26" s="60"/>
      <c r="C26" s="10"/>
      <c r="D26" s="124"/>
      <c r="E26" s="125"/>
      <c r="F26" s="11"/>
      <c r="G26" s="12"/>
      <c r="H26" s="24">
        <f t="shared" si="0"/>
        <v>0</v>
      </c>
      <c r="J26" s="60"/>
    </row>
    <row r="27" spans="1:10" s="1" customFormat="1" ht="21.95" customHeight="1">
      <c r="A27" s="60"/>
      <c r="C27" s="10"/>
      <c r="D27" s="124"/>
      <c r="E27" s="125"/>
      <c r="F27" s="11"/>
      <c r="G27" s="12"/>
      <c r="H27" s="24">
        <f t="shared" si="0"/>
        <v>0</v>
      </c>
      <c r="J27" s="60"/>
    </row>
    <row r="28" spans="1:10" s="1" customFormat="1" ht="21.95" customHeight="1">
      <c r="A28" s="60"/>
      <c r="C28" s="10"/>
      <c r="D28" s="124"/>
      <c r="E28" s="125"/>
      <c r="F28" s="11"/>
      <c r="G28" s="12"/>
      <c r="H28" s="24">
        <f t="shared" si="0"/>
        <v>0</v>
      </c>
      <c r="J28" s="60"/>
    </row>
    <row r="29" spans="1:10" s="1" customFormat="1" ht="21.95" customHeight="1">
      <c r="A29" s="60"/>
      <c r="C29" s="13"/>
      <c r="D29" s="133"/>
      <c r="E29" s="134"/>
      <c r="F29" s="14"/>
      <c r="G29" s="15"/>
      <c r="H29" s="25">
        <f t="shared" si="0"/>
        <v>0</v>
      </c>
      <c r="J29" s="60"/>
    </row>
    <row r="30" spans="1:10" s="1" customFormat="1" ht="3.75" customHeight="1">
      <c r="A30" s="60"/>
      <c r="C30" s="16"/>
      <c r="D30" s="17"/>
      <c r="E30" s="17"/>
      <c r="F30" s="18"/>
      <c r="G30" s="19"/>
      <c r="H30" s="20"/>
      <c r="J30" s="60"/>
    </row>
    <row r="31" spans="1:10" s="1" customFormat="1" ht="21.95" customHeight="1" thickBot="1">
      <c r="A31" s="60"/>
      <c r="C31" s="130" t="str">
        <f>"( "&amp;BAHTTEXT(H31)&amp;" )"</f>
        <v>( ศูนย์บาทถ้วน )</v>
      </c>
      <c r="D31" s="131"/>
      <c r="E31" s="131"/>
      <c r="F31" s="132"/>
      <c r="G31" s="38" t="s">
        <v>27</v>
      </c>
      <c r="H31" s="22">
        <f>SUM(H13:H29)</f>
        <v>0</v>
      </c>
      <c r="J31" s="60"/>
    </row>
    <row r="32" spans="1:10" s="1" customFormat="1" ht="21.95" customHeight="1" thickTop="1">
      <c r="A32" s="60"/>
      <c r="J32" s="60"/>
    </row>
    <row r="33" spans="1:10" s="1" customFormat="1" ht="48.75" customHeight="1">
      <c r="A33" s="60"/>
      <c r="J33" s="60"/>
    </row>
    <row r="34" spans="1:10" s="1" customFormat="1" ht="21.75" customHeight="1">
      <c r="A34" s="60"/>
      <c r="F34" s="37" t="s">
        <v>14</v>
      </c>
      <c r="G34" s="21"/>
      <c r="H34" s="21"/>
      <c r="J34" s="60"/>
    </row>
    <row r="35" spans="1:10" s="1" customFormat="1" ht="21.95" customHeight="1">
      <c r="A35" s="60"/>
      <c r="G35" s="36" t="s">
        <v>15</v>
      </c>
      <c r="J35" s="60"/>
    </row>
    <row r="36" spans="1:10" s="1" customFormat="1" ht="45.75" customHeight="1">
      <c r="A36" s="60"/>
      <c r="J36" s="60"/>
    </row>
    <row r="37" spans="1:10" ht="25.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</row>
  </sheetData>
  <sheetProtection formatCells="0" formatColumns="0" formatRows="0" insertColumns="0" insertRows="0" insertHyperlinks="0" deleteColumns="0" deleteRows="0" selectLockedCells="1" sort="0" autoFilter="0" pivotTables="0"/>
  <mergeCells count="23">
    <mergeCell ref="D23:E23"/>
    <mergeCell ref="D17:E17"/>
    <mergeCell ref="D18:E18"/>
    <mergeCell ref="D19:E19"/>
    <mergeCell ref="D20:E20"/>
    <mergeCell ref="D21:E21"/>
    <mergeCell ref="D22:E22"/>
    <mergeCell ref="C31:F31"/>
    <mergeCell ref="D24:E24"/>
    <mergeCell ref="D25:E25"/>
    <mergeCell ref="D26:E26"/>
    <mergeCell ref="D27:E27"/>
    <mergeCell ref="D28:E28"/>
    <mergeCell ref="D29:E29"/>
    <mergeCell ref="C3:H3"/>
    <mergeCell ref="D13:E13"/>
    <mergeCell ref="D14:E14"/>
    <mergeCell ref="D15:E15"/>
    <mergeCell ref="D16:E16"/>
    <mergeCell ref="D12:E12"/>
    <mergeCell ref="D7:E7"/>
    <mergeCell ref="D9:G9"/>
    <mergeCell ref="D10:E10"/>
  </mergeCells>
  <conditionalFormatting sqref="H4:H5 D7:E7 E8 G8 D9:G9 D10:E10">
    <cfRule type="containsBlanks" dxfId="5" priority="1">
      <formula>LEN(TRIM(D4))=0</formula>
    </cfRule>
    <cfRule type="containsBlanks" dxfId="4" priority="3">
      <formula>LEN(TRIM(D4))=0</formula>
    </cfRule>
  </conditionalFormatting>
  <dataValidations count="1">
    <dataValidation type="custom" allowBlank="1" showInputMessage="1" showErrorMessage="1" sqref="H13:H30" xr:uid="{00000000-0002-0000-0000-000000000000}">
      <formula1>F13*G13</formula1>
    </dataValidation>
  </dataValidations>
  <pageMargins left="0.28000000000000003" right="0.15748031496062992" top="0.35" bottom="0.28999999999999998" header="0.31496062992125984" footer="0.31496062992125984"/>
  <pageSetup paperSize="9" scale="96" orientation="portrait" r:id="rId1"/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M42"/>
  <sheetViews>
    <sheetView view="pageBreakPreview" topLeftCell="A62" zoomScale="60" zoomScaleNormal="100" workbookViewId="0">
      <selection activeCell="G16" sqref="G16:H16"/>
    </sheetView>
  </sheetViews>
  <sheetFormatPr defaultColWidth="9" defaultRowHeight="15"/>
  <cols>
    <col min="1" max="1" width="4.85546875" style="47" customWidth="1"/>
    <col min="2" max="2" width="2.42578125" style="47" customWidth="1"/>
    <col min="3" max="3" width="9.140625" style="47" customWidth="1"/>
    <col min="4" max="4" width="14.5703125" style="47" customWidth="1"/>
    <col min="5" max="5" width="16.140625" style="47" customWidth="1"/>
    <col min="6" max="6" width="17.140625" style="47" customWidth="1"/>
    <col min="7" max="7" width="11.28515625" style="47" customWidth="1"/>
    <col min="8" max="8" width="15.140625" style="47" customWidth="1"/>
    <col min="9" max="9" width="5.5703125" style="47" customWidth="1"/>
    <col min="10" max="10" width="13.5703125" style="47" customWidth="1"/>
    <col min="11" max="11" width="2.42578125" style="47" customWidth="1"/>
    <col min="12" max="12" width="4.5703125" style="47" customWidth="1"/>
    <col min="13" max="16384" width="9" style="47"/>
  </cols>
  <sheetData>
    <row r="1" spans="1:13" ht="29.25" customHeight="1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3" s="1" customFormat="1">
      <c r="A2" s="54"/>
      <c r="L2" s="54"/>
    </row>
    <row r="3" spans="1:13" s="1" customFormat="1" ht="34.5" customHeight="1">
      <c r="A3" s="54"/>
      <c r="C3" s="121" t="s">
        <v>29</v>
      </c>
      <c r="D3" s="121"/>
      <c r="E3" s="121"/>
      <c r="F3" s="121"/>
      <c r="G3" s="121"/>
      <c r="H3" s="121"/>
      <c r="I3" s="121"/>
      <c r="J3" s="121"/>
      <c r="L3" s="54"/>
    </row>
    <row r="4" spans="1:13" s="1" customFormat="1" ht="9.75" customHeight="1">
      <c r="A4" s="54"/>
      <c r="L4" s="54"/>
    </row>
    <row r="5" spans="1:13" s="1" customFormat="1" ht="21.95" customHeight="1">
      <c r="A5" s="54"/>
      <c r="I5" s="35" t="s">
        <v>38</v>
      </c>
      <c r="J5" s="2"/>
      <c r="L5" s="54"/>
      <c r="M5" s="26"/>
    </row>
    <row r="6" spans="1:13" s="1" customFormat="1" ht="21.95" customHeight="1">
      <c r="A6" s="54"/>
      <c r="I6" s="35" t="s">
        <v>1</v>
      </c>
      <c r="J6" s="3" t="s">
        <v>45</v>
      </c>
      <c r="L6" s="54"/>
      <c r="M6" s="26"/>
    </row>
    <row r="7" spans="1:13" s="1" customFormat="1" ht="21.75" customHeight="1">
      <c r="A7" s="54"/>
      <c r="L7" s="54"/>
      <c r="M7" s="4"/>
    </row>
    <row r="8" spans="1:13" s="1" customFormat="1" ht="21.95" customHeight="1">
      <c r="A8" s="54"/>
      <c r="D8" s="37" t="s">
        <v>21</v>
      </c>
      <c r="E8" s="128" t="s">
        <v>44</v>
      </c>
      <c r="F8" s="128"/>
      <c r="G8" s="128"/>
      <c r="H8" s="34" t="s">
        <v>30</v>
      </c>
      <c r="J8" s="6"/>
      <c r="L8" s="54"/>
      <c r="M8" s="4"/>
    </row>
    <row r="9" spans="1:13" s="1" customFormat="1" ht="21.95" customHeight="1">
      <c r="A9" s="54"/>
      <c r="C9" s="1" t="s">
        <v>3</v>
      </c>
      <c r="D9" s="34"/>
      <c r="E9" s="137">
        <v>1102170009849</v>
      </c>
      <c r="F9" s="137"/>
      <c r="G9" s="35" t="s">
        <v>17</v>
      </c>
      <c r="H9" s="2"/>
      <c r="I9" s="35" t="s">
        <v>18</v>
      </c>
      <c r="J9" s="2"/>
      <c r="L9" s="54"/>
    </row>
    <row r="10" spans="1:13" s="1" customFormat="1" ht="21.75" customHeight="1">
      <c r="A10" s="54"/>
      <c r="C10" s="35" t="s">
        <v>19</v>
      </c>
      <c r="D10" s="2"/>
      <c r="E10" s="35" t="s">
        <v>20</v>
      </c>
      <c r="F10" s="2"/>
      <c r="G10" s="35" t="s">
        <v>22</v>
      </c>
      <c r="H10" s="2"/>
      <c r="I10" s="35" t="s">
        <v>23</v>
      </c>
      <c r="J10" s="2"/>
      <c r="L10" s="54"/>
    </row>
    <row r="11" spans="1:13" s="1" customFormat="1" ht="14.25" customHeight="1">
      <c r="A11" s="54"/>
      <c r="L11" s="54"/>
    </row>
    <row r="12" spans="1:13" s="6" customFormat="1" ht="21.95" customHeight="1">
      <c r="A12" s="55"/>
      <c r="D12" s="35" t="s">
        <v>6</v>
      </c>
      <c r="E12" s="128" t="s">
        <v>31</v>
      </c>
      <c r="F12" s="128"/>
      <c r="G12" s="128"/>
      <c r="H12" s="41" t="s">
        <v>32</v>
      </c>
      <c r="I12" s="27"/>
      <c r="L12" s="55"/>
    </row>
    <row r="13" spans="1:13" s="1" customFormat="1" ht="9" customHeight="1">
      <c r="A13" s="54"/>
      <c r="B13" s="56"/>
      <c r="L13" s="54"/>
    </row>
    <row r="14" spans="1:13" s="1" customFormat="1" ht="27" customHeight="1" thickBot="1">
      <c r="A14" s="54"/>
      <c r="C14" s="68" t="s">
        <v>7</v>
      </c>
      <c r="D14" s="140" t="s">
        <v>24</v>
      </c>
      <c r="E14" s="140"/>
      <c r="F14" s="67" t="s">
        <v>42</v>
      </c>
      <c r="G14" s="140" t="s">
        <v>43</v>
      </c>
      <c r="H14" s="148"/>
      <c r="I14" s="144" t="s">
        <v>11</v>
      </c>
      <c r="J14" s="145"/>
      <c r="L14" s="54"/>
    </row>
    <row r="15" spans="1:13" s="1" customFormat="1" ht="21.95" customHeight="1" thickTop="1" thickBot="1">
      <c r="A15" s="54"/>
      <c r="C15" s="65"/>
      <c r="D15" s="138"/>
      <c r="E15" s="139"/>
      <c r="F15" s="65">
        <v>500</v>
      </c>
      <c r="G15" s="149"/>
      <c r="H15" s="139"/>
      <c r="I15" s="135">
        <f>F15-(F15*G15)</f>
        <v>500</v>
      </c>
      <c r="J15" s="136"/>
      <c r="L15" s="54"/>
    </row>
    <row r="16" spans="1:13" s="1" customFormat="1" ht="21.95" customHeight="1" thickTop="1" thickBot="1">
      <c r="A16" s="54"/>
      <c r="C16" s="65"/>
      <c r="D16" s="138"/>
      <c r="E16" s="139"/>
      <c r="F16" s="65">
        <v>5000</v>
      </c>
      <c r="G16" s="149"/>
      <c r="H16" s="139"/>
      <c r="I16" s="135">
        <f t="shared" ref="I16:I27" si="0">F16-(F16*G16)</f>
        <v>5000</v>
      </c>
      <c r="J16" s="136"/>
      <c r="L16" s="54"/>
    </row>
    <row r="17" spans="1:12" s="1" customFormat="1" ht="21.95" customHeight="1" thickTop="1" thickBot="1">
      <c r="A17" s="54"/>
      <c r="C17" s="65"/>
      <c r="D17" s="138"/>
      <c r="E17" s="139"/>
      <c r="F17" s="65"/>
      <c r="G17" s="149"/>
      <c r="H17" s="139"/>
      <c r="I17" s="135">
        <f t="shared" si="0"/>
        <v>0</v>
      </c>
      <c r="J17" s="136"/>
      <c r="L17" s="54"/>
    </row>
    <row r="18" spans="1:12" s="1" customFormat="1" ht="21.95" customHeight="1" thickTop="1" thickBot="1">
      <c r="A18" s="54"/>
      <c r="C18" s="65"/>
      <c r="D18" s="138"/>
      <c r="E18" s="139"/>
      <c r="F18" s="65"/>
      <c r="G18" s="138"/>
      <c r="H18" s="139"/>
      <c r="I18" s="135">
        <f t="shared" si="0"/>
        <v>0</v>
      </c>
      <c r="J18" s="136"/>
      <c r="L18" s="54"/>
    </row>
    <row r="19" spans="1:12" s="1" customFormat="1" ht="21.95" customHeight="1" thickTop="1" thickBot="1">
      <c r="A19" s="54"/>
      <c r="C19" s="65"/>
      <c r="D19" s="138"/>
      <c r="E19" s="139"/>
      <c r="F19" s="65"/>
      <c r="G19" s="138"/>
      <c r="H19" s="139"/>
      <c r="I19" s="135">
        <f t="shared" si="0"/>
        <v>0</v>
      </c>
      <c r="J19" s="136"/>
      <c r="L19" s="54"/>
    </row>
    <row r="20" spans="1:12" s="1" customFormat="1" ht="21.95" customHeight="1" thickTop="1" thickBot="1">
      <c r="A20" s="54"/>
      <c r="C20" s="65"/>
      <c r="D20" s="138"/>
      <c r="E20" s="139"/>
      <c r="F20" s="65"/>
      <c r="G20" s="138"/>
      <c r="H20" s="139"/>
      <c r="I20" s="135">
        <f t="shared" si="0"/>
        <v>0</v>
      </c>
      <c r="J20" s="136"/>
      <c r="L20" s="54"/>
    </row>
    <row r="21" spans="1:12" s="1" customFormat="1" ht="21.95" customHeight="1" thickTop="1" thickBot="1">
      <c r="A21" s="54"/>
      <c r="C21" s="65"/>
      <c r="D21" s="138"/>
      <c r="E21" s="139"/>
      <c r="F21" s="65"/>
      <c r="G21" s="138"/>
      <c r="H21" s="139"/>
      <c r="I21" s="135">
        <f t="shared" si="0"/>
        <v>0</v>
      </c>
      <c r="J21" s="136"/>
      <c r="L21" s="54"/>
    </row>
    <row r="22" spans="1:12" s="1" customFormat="1" ht="21.95" customHeight="1" thickTop="1" thickBot="1">
      <c r="A22" s="54"/>
      <c r="C22" s="65"/>
      <c r="D22" s="138"/>
      <c r="E22" s="139"/>
      <c r="F22" s="65"/>
      <c r="G22" s="138"/>
      <c r="H22" s="139"/>
      <c r="I22" s="135">
        <f t="shared" si="0"/>
        <v>0</v>
      </c>
      <c r="J22" s="136"/>
      <c r="L22" s="54"/>
    </row>
    <row r="23" spans="1:12" s="1" customFormat="1" ht="21.95" customHeight="1" thickTop="1" thickBot="1">
      <c r="A23" s="54"/>
      <c r="C23" s="65"/>
      <c r="D23" s="138"/>
      <c r="E23" s="139"/>
      <c r="F23" s="65"/>
      <c r="G23" s="138"/>
      <c r="H23" s="139"/>
      <c r="I23" s="135">
        <f t="shared" si="0"/>
        <v>0</v>
      </c>
      <c r="J23" s="136"/>
      <c r="L23" s="54"/>
    </row>
    <row r="24" spans="1:12" s="1" customFormat="1" ht="21.95" customHeight="1" thickTop="1" thickBot="1">
      <c r="A24" s="54"/>
      <c r="C24" s="65"/>
      <c r="D24" s="138"/>
      <c r="E24" s="139"/>
      <c r="F24" s="65"/>
      <c r="G24" s="138"/>
      <c r="H24" s="139"/>
      <c r="I24" s="135">
        <f t="shared" si="0"/>
        <v>0</v>
      </c>
      <c r="J24" s="136"/>
      <c r="L24" s="54"/>
    </row>
    <row r="25" spans="1:12" s="1" customFormat="1" ht="21.95" customHeight="1" thickTop="1" thickBot="1">
      <c r="A25" s="54"/>
      <c r="C25" s="65"/>
      <c r="D25" s="138"/>
      <c r="E25" s="139"/>
      <c r="F25" s="65"/>
      <c r="G25" s="138"/>
      <c r="H25" s="139"/>
      <c r="I25" s="135">
        <f t="shared" si="0"/>
        <v>0</v>
      </c>
      <c r="J25" s="136"/>
      <c r="L25" s="54"/>
    </row>
    <row r="26" spans="1:12" s="1" customFormat="1" ht="21.95" customHeight="1" thickTop="1" thickBot="1">
      <c r="A26" s="54"/>
      <c r="C26" s="65"/>
      <c r="D26" s="138"/>
      <c r="E26" s="139"/>
      <c r="F26" s="65"/>
      <c r="G26" s="138"/>
      <c r="H26" s="139"/>
      <c r="I26" s="135">
        <f t="shared" si="0"/>
        <v>0</v>
      </c>
      <c r="J26" s="136"/>
      <c r="L26" s="54"/>
    </row>
    <row r="27" spans="1:12" s="1" customFormat="1" ht="21.95" customHeight="1" thickTop="1" thickBot="1">
      <c r="A27" s="54"/>
      <c r="C27" s="65"/>
      <c r="D27" s="138"/>
      <c r="E27" s="139"/>
      <c r="F27" s="65"/>
      <c r="G27" s="138"/>
      <c r="H27" s="139"/>
      <c r="I27" s="135">
        <f t="shared" si="0"/>
        <v>0</v>
      </c>
      <c r="J27" s="136"/>
      <c r="L27" s="54"/>
    </row>
    <row r="28" spans="1:12" s="1" customFormat="1" ht="21.95" customHeight="1" thickTop="1" thickBot="1">
      <c r="A28" s="54"/>
      <c r="C28" s="66"/>
      <c r="D28" s="138"/>
      <c r="E28" s="139"/>
      <c r="F28" s="66"/>
      <c r="G28" s="138"/>
      <c r="H28" s="139"/>
      <c r="I28" s="135">
        <f t="shared" ref="I28:I31" si="1">F28-(F28*G28)</f>
        <v>0</v>
      </c>
      <c r="J28" s="136"/>
      <c r="L28" s="54"/>
    </row>
    <row r="29" spans="1:12" s="1" customFormat="1" ht="21.95" customHeight="1" thickTop="1" thickBot="1">
      <c r="A29" s="54"/>
      <c r="C29" s="65"/>
      <c r="D29" s="138"/>
      <c r="E29" s="139"/>
      <c r="F29" s="65"/>
      <c r="G29" s="138"/>
      <c r="H29" s="139"/>
      <c r="I29" s="135">
        <f t="shared" si="1"/>
        <v>0</v>
      </c>
      <c r="J29" s="136"/>
      <c r="L29" s="54"/>
    </row>
    <row r="30" spans="1:12" s="1" customFormat="1" ht="21.95" customHeight="1" thickTop="1" thickBot="1">
      <c r="A30" s="54"/>
      <c r="C30" s="66"/>
      <c r="D30" s="138"/>
      <c r="E30" s="139"/>
      <c r="F30" s="66"/>
      <c r="G30" s="138"/>
      <c r="H30" s="139"/>
      <c r="I30" s="135">
        <f t="shared" si="1"/>
        <v>0</v>
      </c>
      <c r="J30" s="136"/>
      <c r="L30" s="54"/>
    </row>
    <row r="31" spans="1:12" s="1" customFormat="1" ht="21.95" customHeight="1" thickTop="1">
      <c r="A31" s="54"/>
      <c r="C31" s="65"/>
      <c r="D31" s="138"/>
      <c r="E31" s="139"/>
      <c r="F31" s="65"/>
      <c r="G31" s="138"/>
      <c r="H31" s="139"/>
      <c r="I31" s="135">
        <f t="shared" si="1"/>
        <v>0</v>
      </c>
      <c r="J31" s="136"/>
      <c r="L31" s="54"/>
    </row>
    <row r="32" spans="1:12" s="1" customFormat="1" ht="3.75" customHeight="1">
      <c r="A32" s="54"/>
      <c r="C32" s="17"/>
      <c r="D32" s="17"/>
      <c r="E32" s="17"/>
      <c r="F32" s="17"/>
      <c r="G32" s="17"/>
      <c r="H32" s="28"/>
      <c r="I32" s="20"/>
      <c r="J32" s="20"/>
      <c r="L32" s="54"/>
    </row>
    <row r="33" spans="1:12" s="1" customFormat="1" ht="21.95" customHeight="1" thickBot="1">
      <c r="A33" s="54"/>
      <c r="C33" s="130" t="str">
        <f>"( "&amp;BAHTTEXT(I33)&amp;" )"</f>
        <v>( ห้าพันห้าร้อยบาทถ้วน )</v>
      </c>
      <c r="D33" s="146"/>
      <c r="E33" s="146"/>
      <c r="F33" s="146"/>
      <c r="G33" s="147"/>
      <c r="H33" s="42" t="s">
        <v>25</v>
      </c>
      <c r="I33" s="142">
        <f>SUM(I15:J31)</f>
        <v>5500</v>
      </c>
      <c r="J33" s="143"/>
      <c r="L33" s="54"/>
    </row>
    <row r="34" spans="1:12" s="1" customFormat="1" ht="21.95" customHeight="1" thickTop="1">
      <c r="A34" s="54"/>
      <c r="C34" s="29"/>
      <c r="D34" s="29"/>
      <c r="E34" s="29"/>
      <c r="F34" s="29"/>
      <c r="G34" s="29"/>
      <c r="H34" s="29"/>
      <c r="J34" s="29"/>
      <c r="L34" s="54"/>
    </row>
    <row r="35" spans="1:12" s="1" customFormat="1" ht="21.95" customHeight="1">
      <c r="A35" s="54"/>
      <c r="C35" s="43" t="s">
        <v>34</v>
      </c>
      <c r="D35" s="141" t="s">
        <v>44</v>
      </c>
      <c r="E35" s="141"/>
      <c r="F35" s="141"/>
      <c r="G35" s="43" t="s">
        <v>26</v>
      </c>
      <c r="H35" s="48"/>
      <c r="I35" s="49" t="s">
        <v>46</v>
      </c>
      <c r="L35" s="54"/>
    </row>
    <row r="36" spans="1:12" s="1" customFormat="1" ht="21.95" customHeight="1">
      <c r="A36" s="54"/>
      <c r="C36" s="44" t="s">
        <v>39</v>
      </c>
      <c r="D36" s="31"/>
      <c r="E36" s="31"/>
      <c r="F36" s="31"/>
      <c r="G36" s="31"/>
      <c r="H36" s="31"/>
      <c r="I36" s="31"/>
      <c r="J36" s="30"/>
      <c r="L36" s="54"/>
    </row>
    <row r="37" spans="1:12" s="1" customFormat="1" ht="32.25" customHeight="1">
      <c r="A37" s="54"/>
      <c r="C37" s="63" t="s">
        <v>33</v>
      </c>
      <c r="D37" s="50"/>
      <c r="E37" s="44"/>
      <c r="F37" s="32" t="s">
        <v>37</v>
      </c>
      <c r="G37" s="45"/>
      <c r="H37" s="32"/>
      <c r="J37" s="51"/>
      <c r="L37" s="54"/>
    </row>
    <row r="38" spans="1:12" s="1" customFormat="1" ht="21.95" customHeight="1">
      <c r="A38" s="54"/>
      <c r="C38" s="64" t="s">
        <v>41</v>
      </c>
      <c r="G38" s="29"/>
      <c r="H38" s="29"/>
      <c r="I38" s="29"/>
      <c r="J38" s="29"/>
      <c r="L38" s="54"/>
    </row>
    <row r="39" spans="1:12" s="1" customFormat="1" ht="20.25" customHeight="1">
      <c r="A39" s="54"/>
      <c r="C39" s="29"/>
      <c r="D39" s="29"/>
      <c r="E39" s="29"/>
      <c r="F39" s="29"/>
      <c r="G39" s="29"/>
      <c r="H39" s="29"/>
      <c r="I39" s="29"/>
      <c r="J39" s="29"/>
      <c r="L39" s="54"/>
    </row>
    <row r="40" spans="1:12" s="1" customFormat="1" ht="21.75" customHeight="1">
      <c r="A40" s="54"/>
      <c r="C40" s="29" t="s">
        <v>15</v>
      </c>
      <c r="D40" s="29"/>
      <c r="E40" s="29" t="s">
        <v>40</v>
      </c>
      <c r="F40" s="29"/>
      <c r="G40" s="29" t="s">
        <v>35</v>
      </c>
      <c r="H40" s="29"/>
      <c r="I40" s="29"/>
      <c r="J40" s="29" t="s">
        <v>36</v>
      </c>
      <c r="L40" s="54"/>
    </row>
    <row r="41" spans="1:12" s="1" customFormat="1" ht="21.75" customHeight="1">
      <c r="A41" s="54"/>
      <c r="L41" s="54"/>
    </row>
    <row r="42" spans="1:12" ht="24.6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G31:H31"/>
    <mergeCell ref="I28:J28"/>
    <mergeCell ref="I30:J30"/>
    <mergeCell ref="G26:H26"/>
    <mergeCell ref="G27:H27"/>
    <mergeCell ref="G28:H28"/>
    <mergeCell ref="G29:H29"/>
    <mergeCell ref="G30:H30"/>
    <mergeCell ref="D28:E28"/>
    <mergeCell ref="D29:E29"/>
    <mergeCell ref="D30:E30"/>
    <mergeCell ref="D31:E31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D16:E16"/>
    <mergeCell ref="D17:E17"/>
    <mergeCell ref="D18:E18"/>
    <mergeCell ref="D26:E26"/>
    <mergeCell ref="D27:E27"/>
    <mergeCell ref="D35:F35"/>
    <mergeCell ref="E12:G12"/>
    <mergeCell ref="I33:J33"/>
    <mergeCell ref="I17:J17"/>
    <mergeCell ref="I18:J18"/>
    <mergeCell ref="I19:J19"/>
    <mergeCell ref="I20:J20"/>
    <mergeCell ref="I26:J26"/>
    <mergeCell ref="I27:J27"/>
    <mergeCell ref="I29:J29"/>
    <mergeCell ref="I31:J31"/>
    <mergeCell ref="I14:J14"/>
    <mergeCell ref="I21:J21"/>
    <mergeCell ref="C33:G33"/>
    <mergeCell ref="D19:E19"/>
    <mergeCell ref="D20:E20"/>
    <mergeCell ref="I25:J25"/>
    <mergeCell ref="C3:J3"/>
    <mergeCell ref="I15:J15"/>
    <mergeCell ref="I16:J16"/>
    <mergeCell ref="I22:J22"/>
    <mergeCell ref="I23:J23"/>
    <mergeCell ref="I24:J24"/>
    <mergeCell ref="E8:G8"/>
    <mergeCell ref="E9:F9"/>
    <mergeCell ref="D24:E24"/>
    <mergeCell ref="D25:E25"/>
    <mergeCell ref="D21:E21"/>
    <mergeCell ref="D22:E22"/>
    <mergeCell ref="D23:E23"/>
    <mergeCell ref="D14:E14"/>
    <mergeCell ref="D15:E15"/>
  </mergeCells>
  <conditionalFormatting sqref="D35:F35 I35 F37 H37">
    <cfRule type="containsBlanks" dxfId="3" priority="1">
      <formula>LEN(TRIM(D35))=0</formula>
    </cfRule>
  </conditionalFormatting>
  <conditionalFormatting sqref="J5:J6 E8:G8 E9:F9 H9:H10 J9:J10 D10 F10 E12:G12">
    <cfRule type="containsBlanks" dxfId="2" priority="2">
      <formula>LEN(TRIM(D5))=0</formula>
    </cfRule>
  </conditionalFormatting>
  <pageMargins left="0.28000000000000003" right="0.15748031496062992" top="0.35" bottom="0.28999999999999998" header="0.31496062992125984" footer="0.31496062992125984"/>
  <pageSetup paperSize="9" scale="91" orientation="portrait" r:id="rId1"/>
  <rowBreaks count="1" manualBreakCount="1">
    <brk id="42" min="1" max="9" man="1"/>
  </rowBreaks>
  <colBreaks count="1" manualBreakCount="1">
    <brk id="10" min="1" max="4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F7FF-AA4E-41DA-9971-049088301552}">
  <sheetPr>
    <pageSetUpPr fitToPage="1"/>
  </sheetPr>
  <dimension ref="A1:K39"/>
  <sheetViews>
    <sheetView tabSelected="1" view="pageBreakPreview" topLeftCell="A7" zoomScale="70" zoomScaleNormal="100" zoomScaleSheetLayoutView="70" workbookViewId="0">
      <selection activeCell="F40" sqref="F40"/>
    </sheetView>
  </sheetViews>
  <sheetFormatPr defaultColWidth="9" defaultRowHeight="27"/>
  <cols>
    <col min="1" max="1" width="2.42578125" style="93" customWidth="1"/>
    <col min="2" max="2" width="9.140625" style="93" customWidth="1"/>
    <col min="3" max="3" width="14.5703125" style="93" customWidth="1"/>
    <col min="4" max="4" width="59.5703125" style="93" customWidth="1"/>
    <col min="5" max="5" width="17.140625" style="93" customWidth="1"/>
    <col min="6" max="6" width="11.28515625" style="93" customWidth="1"/>
    <col min="7" max="7" width="22.42578125" style="93" customWidth="1"/>
    <col min="8" max="8" width="8" style="93" customWidth="1"/>
    <col min="9" max="9" width="13.5703125" style="93" customWidth="1"/>
    <col min="10" max="10" width="2.42578125" style="93" customWidth="1"/>
    <col min="11" max="16384" width="9" style="93"/>
  </cols>
  <sheetData>
    <row r="1" spans="1:11" s="70" customFormat="1"/>
    <row r="2" spans="1:11" s="70" customFormat="1" ht="34.5" customHeight="1">
      <c r="B2" s="101" t="s">
        <v>29</v>
      </c>
      <c r="C2" s="101"/>
      <c r="D2" s="101"/>
      <c r="E2" s="101"/>
      <c r="F2" s="101"/>
      <c r="G2" s="101"/>
      <c r="H2" s="101"/>
      <c r="I2" s="101"/>
    </row>
    <row r="3" spans="1:11" s="70" customFormat="1" ht="9.75" customHeight="1"/>
    <row r="4" spans="1:11" s="70" customFormat="1" ht="21.95" customHeight="1">
      <c r="G4" s="76" t="s">
        <v>38</v>
      </c>
      <c r="H4" s="109" t="s">
        <v>49</v>
      </c>
      <c r="I4" s="109"/>
      <c r="K4" s="73"/>
    </row>
    <row r="5" spans="1:11" s="70" customFormat="1" ht="21.95" customHeight="1">
      <c r="G5" s="76" t="s">
        <v>1</v>
      </c>
      <c r="H5" s="110">
        <f ca="1">TODAY()</f>
        <v>46160</v>
      </c>
      <c r="I5" s="110"/>
      <c r="K5" s="73"/>
    </row>
    <row r="6" spans="1:11" s="70" customFormat="1" ht="21.75" customHeight="1">
      <c r="K6" s="75"/>
    </row>
    <row r="7" spans="1:11" s="70" customFormat="1" ht="21.95" customHeight="1">
      <c r="C7" s="76" t="s">
        <v>21</v>
      </c>
      <c r="D7" s="102" t="s">
        <v>50</v>
      </c>
      <c r="E7" s="102"/>
      <c r="F7" s="102"/>
      <c r="G7" s="77" t="s">
        <v>30</v>
      </c>
      <c r="I7" s="78"/>
      <c r="K7" s="75"/>
    </row>
    <row r="8" spans="1:11" s="70" customFormat="1" ht="21.95" customHeight="1">
      <c r="B8" s="70" t="s">
        <v>3</v>
      </c>
      <c r="C8" s="77"/>
      <c r="D8" s="100">
        <v>115563023540</v>
      </c>
      <c r="E8" s="108" t="s">
        <v>17</v>
      </c>
      <c r="F8" s="108"/>
      <c r="G8" s="99" t="s">
        <v>57</v>
      </c>
      <c r="H8" s="71" t="s">
        <v>18</v>
      </c>
      <c r="I8" s="99">
        <v>4</v>
      </c>
    </row>
    <row r="9" spans="1:11" s="70" customFormat="1" ht="21.75" customHeight="1">
      <c r="B9" s="71" t="s">
        <v>19</v>
      </c>
      <c r="C9" s="72" t="s">
        <v>48</v>
      </c>
      <c r="D9" s="71" t="s">
        <v>20</v>
      </c>
      <c r="E9" s="99" t="s">
        <v>58</v>
      </c>
      <c r="F9" s="71" t="s">
        <v>22</v>
      </c>
      <c r="G9" s="99" t="s">
        <v>59</v>
      </c>
      <c r="H9" s="71" t="s">
        <v>23</v>
      </c>
      <c r="I9" s="99" t="s">
        <v>60</v>
      </c>
    </row>
    <row r="10" spans="1:11" s="70" customFormat="1" ht="14.25" customHeight="1"/>
    <row r="11" spans="1:11" s="78" customFormat="1" ht="21.95" customHeight="1">
      <c r="C11" s="71" t="s">
        <v>6</v>
      </c>
      <c r="D11" s="103" t="s">
        <v>31</v>
      </c>
      <c r="E11" s="103"/>
      <c r="F11" s="103"/>
      <c r="G11" s="79" t="s">
        <v>32</v>
      </c>
      <c r="H11" s="80"/>
    </row>
    <row r="12" spans="1:11" s="70" customFormat="1" ht="9" customHeight="1">
      <c r="A12" s="81"/>
    </row>
    <row r="13" spans="1:11" s="70" customFormat="1" ht="27" customHeight="1">
      <c r="B13" s="82" t="s">
        <v>7</v>
      </c>
      <c r="C13" s="104" t="s">
        <v>24</v>
      </c>
      <c r="D13" s="104"/>
      <c r="E13" s="83" t="s">
        <v>42</v>
      </c>
      <c r="F13" s="104" t="s">
        <v>43</v>
      </c>
      <c r="G13" s="105"/>
      <c r="H13" s="106" t="s">
        <v>11</v>
      </c>
      <c r="I13" s="107"/>
    </row>
    <row r="14" spans="1:11" s="70" customFormat="1">
      <c r="B14" s="84">
        <v>1</v>
      </c>
      <c r="C14" s="111" t="s">
        <v>51</v>
      </c>
      <c r="D14" s="111"/>
      <c r="E14" s="85">
        <v>15000</v>
      </c>
      <c r="F14" s="112"/>
      <c r="G14" s="113"/>
      <c r="H14" s="114">
        <f>E14-(E14*F14)</f>
        <v>15000</v>
      </c>
      <c r="I14" s="114"/>
    </row>
    <row r="15" spans="1:11" s="70" customFormat="1" ht="21.95" customHeight="1">
      <c r="B15" s="84"/>
      <c r="C15" s="111" t="s">
        <v>52</v>
      </c>
      <c r="D15" s="111"/>
      <c r="E15" s="95"/>
      <c r="F15" s="112">
        <v>7.0000000000000007E-2</v>
      </c>
      <c r="G15" s="113"/>
      <c r="H15" s="114">
        <f>(E14*F15)</f>
        <v>1050</v>
      </c>
      <c r="I15" s="114"/>
    </row>
    <row r="16" spans="1:11" s="70" customFormat="1" ht="21.95" customHeight="1">
      <c r="B16" s="84"/>
      <c r="C16" s="111" t="s">
        <v>53</v>
      </c>
      <c r="D16" s="111"/>
      <c r="E16" s="86"/>
      <c r="F16" s="112"/>
      <c r="G16" s="113"/>
      <c r="H16" s="115">
        <f>H14+H15</f>
        <v>16050</v>
      </c>
      <c r="I16" s="115"/>
    </row>
    <row r="17" spans="2:9" s="70" customFormat="1" ht="21.95" customHeight="1">
      <c r="B17" s="84"/>
      <c r="C17" s="111" t="s">
        <v>54</v>
      </c>
      <c r="D17" s="111"/>
      <c r="E17" s="86"/>
      <c r="F17" s="112">
        <v>0.03</v>
      </c>
      <c r="G17" s="113"/>
      <c r="H17" s="114">
        <f>E14*F17</f>
        <v>450</v>
      </c>
      <c r="I17" s="114"/>
    </row>
    <row r="18" spans="2:9" s="70" customFormat="1" ht="21.95" customHeight="1">
      <c r="B18" s="86"/>
      <c r="C18" s="113"/>
      <c r="D18" s="113"/>
      <c r="E18" s="86"/>
      <c r="F18" s="113"/>
      <c r="G18" s="113"/>
      <c r="H18" s="115">
        <f t="shared" ref="H18:H28" si="0">E18-(E18*F18)</f>
        <v>0</v>
      </c>
      <c r="I18" s="115"/>
    </row>
    <row r="19" spans="2:9" s="70" customFormat="1" ht="21.95" customHeight="1">
      <c r="B19" s="86"/>
      <c r="C19" s="113"/>
      <c r="D19" s="113"/>
      <c r="E19" s="86"/>
      <c r="F19" s="113"/>
      <c r="G19" s="113"/>
      <c r="H19" s="115">
        <f t="shared" si="0"/>
        <v>0</v>
      </c>
      <c r="I19" s="115"/>
    </row>
    <row r="20" spans="2:9" s="70" customFormat="1" ht="21.95" customHeight="1">
      <c r="B20" s="86"/>
      <c r="C20" s="113"/>
      <c r="D20" s="113"/>
      <c r="E20" s="86"/>
      <c r="F20" s="113"/>
      <c r="G20" s="113"/>
      <c r="H20" s="115">
        <f t="shared" si="0"/>
        <v>0</v>
      </c>
      <c r="I20" s="115"/>
    </row>
    <row r="21" spans="2:9" s="70" customFormat="1" ht="21.95" customHeight="1">
      <c r="B21" s="86"/>
      <c r="C21" s="113"/>
      <c r="D21" s="113"/>
      <c r="E21" s="86"/>
      <c r="F21" s="113"/>
      <c r="G21" s="113"/>
      <c r="H21" s="115">
        <f t="shared" si="0"/>
        <v>0</v>
      </c>
      <c r="I21" s="115"/>
    </row>
    <row r="22" spans="2:9" s="70" customFormat="1" ht="21.95" customHeight="1">
      <c r="B22" s="86"/>
      <c r="C22" s="113"/>
      <c r="D22" s="113"/>
      <c r="E22" s="86"/>
      <c r="F22" s="113"/>
      <c r="G22" s="113"/>
      <c r="H22" s="115">
        <f t="shared" si="0"/>
        <v>0</v>
      </c>
      <c r="I22" s="115"/>
    </row>
    <row r="23" spans="2:9" s="70" customFormat="1" ht="21.95" customHeight="1">
      <c r="B23" s="86"/>
      <c r="C23" s="113"/>
      <c r="D23" s="113"/>
      <c r="E23" s="86"/>
      <c r="F23" s="113"/>
      <c r="G23" s="113"/>
      <c r="H23" s="115">
        <f t="shared" si="0"/>
        <v>0</v>
      </c>
      <c r="I23" s="115"/>
    </row>
    <row r="24" spans="2:9" s="70" customFormat="1" ht="21.95" customHeight="1">
      <c r="B24" s="86"/>
      <c r="C24" s="113"/>
      <c r="D24" s="113"/>
      <c r="E24" s="86"/>
      <c r="F24" s="113"/>
      <c r="G24" s="113"/>
      <c r="H24" s="115">
        <f t="shared" si="0"/>
        <v>0</v>
      </c>
      <c r="I24" s="115"/>
    </row>
    <row r="25" spans="2:9" s="70" customFormat="1" ht="21.95" customHeight="1">
      <c r="B25" s="86"/>
      <c r="C25" s="113"/>
      <c r="D25" s="113"/>
      <c r="E25" s="86"/>
      <c r="F25" s="113"/>
      <c r="G25" s="113"/>
      <c r="H25" s="115">
        <f t="shared" si="0"/>
        <v>0</v>
      </c>
      <c r="I25" s="115"/>
    </row>
    <row r="26" spans="2:9" s="70" customFormat="1" ht="21.95" customHeight="1">
      <c r="B26" s="86"/>
      <c r="C26" s="113"/>
      <c r="D26" s="113"/>
      <c r="E26" s="86"/>
      <c r="F26" s="113"/>
      <c r="G26" s="113"/>
      <c r="H26" s="115">
        <f t="shared" si="0"/>
        <v>0</v>
      </c>
      <c r="I26" s="115"/>
    </row>
    <row r="27" spans="2:9" s="70" customFormat="1" ht="21.95" customHeight="1">
      <c r="B27" s="87"/>
      <c r="C27" s="113"/>
      <c r="D27" s="113"/>
      <c r="E27" s="87"/>
      <c r="F27" s="113"/>
      <c r="G27" s="113"/>
      <c r="H27" s="115">
        <f t="shared" si="0"/>
        <v>0</v>
      </c>
      <c r="I27" s="115"/>
    </row>
    <row r="28" spans="2:9" s="70" customFormat="1" ht="21.95" customHeight="1">
      <c r="B28" s="87"/>
      <c r="C28" s="113"/>
      <c r="D28" s="113"/>
      <c r="E28" s="87"/>
      <c r="F28" s="113"/>
      <c r="G28" s="113"/>
      <c r="H28" s="115">
        <f t="shared" si="0"/>
        <v>0</v>
      </c>
      <c r="I28" s="115"/>
    </row>
    <row r="29" spans="2:9" s="70" customFormat="1" ht="21.95" customHeight="1">
      <c r="B29" s="96"/>
      <c r="C29" s="119" t="s">
        <v>55</v>
      </c>
      <c r="D29" s="119"/>
      <c r="E29" s="96"/>
      <c r="F29" s="119"/>
      <c r="G29" s="119"/>
      <c r="H29" s="120">
        <f>H16-H17</f>
        <v>15600</v>
      </c>
      <c r="I29" s="120"/>
    </row>
    <row r="30" spans="2:9" s="70" customFormat="1" ht="3.75" customHeight="1">
      <c r="B30" s="97"/>
      <c r="C30" s="97"/>
      <c r="D30" s="97"/>
      <c r="E30" s="97"/>
      <c r="F30" s="97"/>
      <c r="G30" s="97"/>
      <c r="H30" s="98"/>
      <c r="I30" s="98"/>
    </row>
    <row r="31" spans="2:9" s="70" customFormat="1" ht="21.95" customHeight="1">
      <c r="B31" s="116" t="str">
        <f>"( "&amp;BAHTTEXT(H31)&amp;" )"</f>
        <v>( หนึ่งหมื่นห้าพันหกร้อยบาทถ้วน )</v>
      </c>
      <c r="C31" s="117"/>
      <c r="D31" s="117"/>
      <c r="E31" s="117"/>
      <c r="F31" s="117"/>
      <c r="G31" s="94" t="s">
        <v>25</v>
      </c>
      <c r="H31" s="118">
        <f>SUM(H29)</f>
        <v>15600</v>
      </c>
      <c r="I31" s="118"/>
    </row>
    <row r="32" spans="2:9" s="70" customFormat="1" ht="21.95" customHeight="1">
      <c r="B32" s="88"/>
      <c r="C32" s="88"/>
      <c r="D32" s="88"/>
      <c r="E32" s="88"/>
      <c r="F32" s="88"/>
      <c r="G32" s="88"/>
      <c r="I32" s="88"/>
    </row>
    <row r="33" spans="2:9" s="70" customFormat="1" ht="21.95" customHeight="1">
      <c r="B33" s="89" t="s">
        <v>34</v>
      </c>
      <c r="C33" s="103" t="s">
        <v>47</v>
      </c>
      <c r="D33" s="103"/>
      <c r="E33" s="103"/>
      <c r="F33" s="89" t="s">
        <v>26</v>
      </c>
      <c r="H33" s="72" t="s">
        <v>46</v>
      </c>
    </row>
    <row r="34" spans="2:9" s="70" customFormat="1" ht="21.95" customHeight="1">
      <c r="B34" s="89" t="s">
        <v>39</v>
      </c>
      <c r="C34" s="88"/>
      <c r="D34" s="88"/>
      <c r="E34" s="88"/>
      <c r="F34" s="88"/>
      <c r="G34" s="76"/>
      <c r="H34" s="88"/>
      <c r="I34" s="88"/>
    </row>
    <row r="35" spans="2:9" s="70" customFormat="1" ht="32.25" customHeight="1">
      <c r="B35" s="90" t="s">
        <v>33</v>
      </c>
      <c r="D35" s="89"/>
      <c r="E35" s="74" t="s">
        <v>37</v>
      </c>
      <c r="F35" s="91" t="s">
        <v>61</v>
      </c>
      <c r="G35" s="69" t="s">
        <v>56</v>
      </c>
    </row>
    <row r="36" spans="2:9" s="70" customFormat="1" ht="21.95" customHeight="1">
      <c r="B36" s="92" t="s">
        <v>41</v>
      </c>
      <c r="F36" s="88"/>
      <c r="G36" s="88"/>
      <c r="H36" s="88"/>
      <c r="I36" s="88"/>
    </row>
    <row r="37" spans="2:9" s="70" customFormat="1" ht="20.25" customHeight="1">
      <c r="B37" s="88"/>
      <c r="C37" s="88"/>
      <c r="D37" s="88"/>
      <c r="E37" s="88"/>
      <c r="F37" s="88"/>
      <c r="G37" s="88"/>
      <c r="H37" s="88"/>
      <c r="I37" s="88"/>
    </row>
    <row r="38" spans="2:9" s="70" customFormat="1" ht="21.75" customHeight="1">
      <c r="B38" s="88" t="s">
        <v>15</v>
      </c>
      <c r="C38" s="88"/>
      <c r="D38" s="88" t="s">
        <v>40</v>
      </c>
      <c r="E38" s="88"/>
      <c r="F38" s="88" t="s">
        <v>35</v>
      </c>
      <c r="G38" s="88"/>
      <c r="H38" s="88"/>
      <c r="I38" s="88" t="s">
        <v>36</v>
      </c>
    </row>
    <row r="39" spans="2:9" s="70" customFormat="1" ht="21.75" customHeight="1"/>
  </sheetData>
  <mergeCells count="60">
    <mergeCell ref="C33:E33"/>
    <mergeCell ref="C28:D28"/>
    <mergeCell ref="F28:G28"/>
    <mergeCell ref="H28:I28"/>
    <mergeCell ref="C29:D29"/>
    <mergeCell ref="F29:G29"/>
    <mergeCell ref="H29:I29"/>
    <mergeCell ref="C27:D27"/>
    <mergeCell ref="F27:G27"/>
    <mergeCell ref="H27:I27"/>
    <mergeCell ref="B31:F31"/>
    <mergeCell ref="H31:I31"/>
    <mergeCell ref="C25:D25"/>
    <mergeCell ref="F25:G25"/>
    <mergeCell ref="H25:I25"/>
    <mergeCell ref="C26:D26"/>
    <mergeCell ref="F26:G26"/>
    <mergeCell ref="H26:I26"/>
    <mergeCell ref="C23:D23"/>
    <mergeCell ref="F23:G23"/>
    <mergeCell ref="H23:I23"/>
    <mergeCell ref="C24:D24"/>
    <mergeCell ref="F24:G24"/>
    <mergeCell ref="H24:I24"/>
    <mergeCell ref="C21:D21"/>
    <mergeCell ref="F21:G21"/>
    <mergeCell ref="H21:I21"/>
    <mergeCell ref="C22:D22"/>
    <mergeCell ref="F22:G22"/>
    <mergeCell ref="H22:I22"/>
    <mergeCell ref="C19:D19"/>
    <mergeCell ref="F19:G19"/>
    <mergeCell ref="H19:I19"/>
    <mergeCell ref="C20:D20"/>
    <mergeCell ref="F20:G20"/>
    <mergeCell ref="H20:I20"/>
    <mergeCell ref="C17:D17"/>
    <mergeCell ref="F17:G17"/>
    <mergeCell ref="H17:I17"/>
    <mergeCell ref="C18:D18"/>
    <mergeCell ref="F18:G18"/>
    <mergeCell ref="H18:I18"/>
    <mergeCell ref="C14:D14"/>
    <mergeCell ref="F14:G14"/>
    <mergeCell ref="C16:D16"/>
    <mergeCell ref="F15:G15"/>
    <mergeCell ref="H14:I14"/>
    <mergeCell ref="F16:G16"/>
    <mergeCell ref="H16:I16"/>
    <mergeCell ref="H15:I15"/>
    <mergeCell ref="C15:D15"/>
    <mergeCell ref="B2:I2"/>
    <mergeCell ref="D7:F7"/>
    <mergeCell ref="D11:F11"/>
    <mergeCell ref="C13:D13"/>
    <mergeCell ref="F13:G13"/>
    <mergeCell ref="H13:I13"/>
    <mergeCell ref="E8:F8"/>
    <mergeCell ref="H4:I4"/>
    <mergeCell ref="H5:I5"/>
  </mergeCells>
  <conditionalFormatting sqref="D7:F7 D8 G8:G9 I8:I9 C9 E9 D11:F11">
    <cfRule type="containsBlanks" dxfId="1" priority="2">
      <formula>LEN(TRIM(C7))=0</formula>
    </cfRule>
  </conditionalFormatting>
  <conditionalFormatting sqref="H4:H5 C33:E33 H33 E35 G35">
    <cfRule type="containsBlanks" dxfId="0" priority="1">
      <formula>LEN(TRIM(C4))=0</formula>
    </cfRule>
  </conditionalFormatting>
  <pageMargins left="0.25" right="0.25" top="0.75" bottom="0.75" header="0.3" footer="0.3"/>
  <pageSetup scale="63" fitToHeight="0" orientation="portrait" r:id="rId1"/>
  <rowBreaks count="1" manualBreakCount="1">
    <brk id="3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ใบรับเงินของผู้รับเงิน</vt:lpstr>
      <vt:lpstr>ใบสำคัญรับเงิน</vt:lpstr>
      <vt:lpstr>1</vt:lpstr>
      <vt:lpstr>'1'!Print_Area</vt:lpstr>
      <vt:lpstr>ใบรับเงินของผู้รับเงิน!Print_Area</vt:lpstr>
      <vt:lpstr>ใบสำคัญรับเงิน!Print_Area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PNK-USER2</dc:creator>
  <cp:lastModifiedBy>Mubin samoh</cp:lastModifiedBy>
  <cp:lastPrinted>2026-05-18T15:46:28Z</cp:lastPrinted>
  <dcterms:created xsi:type="dcterms:W3CDTF">2016-09-16T07:19:09Z</dcterms:created>
  <dcterms:modified xsi:type="dcterms:W3CDTF">2026-05-18T15:46:46Z</dcterms:modified>
</cp:coreProperties>
</file>