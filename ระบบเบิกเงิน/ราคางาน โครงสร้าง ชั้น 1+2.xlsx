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C-SERVICE\Desktop\บริษัทพิชยมงคล\ประชาอุทิศ 13\การเบิกงวดเงิน\"/>
    </mc:Choice>
  </mc:AlternateContent>
  <xr:revisionPtr revIDLastSave="0" documentId="8_{5B4ECBF8-F898-43E0-A2A0-0204F14203EB}" xr6:coauthVersionLast="47" xr6:coauthVersionMax="47" xr10:uidLastSave="{00000000-0000-0000-0000-000000000000}"/>
  <bookViews>
    <workbookView xWindow="-120" yWindow="-120" windowWidth="29040" windowHeight="15720" xr2:uid="{9D6EDC0A-2A0E-47D4-8FA7-8BE7E9B0B864}"/>
  </bookViews>
  <sheets>
    <sheet name="Sheet1 (2)" sheetId="2" r:id="rId1"/>
  </sheets>
  <definedNames>
    <definedName name="_xlnm.Print_Area" localSheetId="0">'Sheet1 (2)'!$A$2:$T$27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2" l="1"/>
  <c r="I22" i="2"/>
  <c r="H18" i="2"/>
  <c r="I18" i="2" s="1"/>
  <c r="H15" i="2" l="1"/>
  <c r="I15" i="2" s="1"/>
  <c r="H21" i="2"/>
  <c r="I21" i="2" s="1"/>
  <c r="H19" i="2"/>
  <c r="I19" i="2" s="1"/>
  <c r="H17" i="2"/>
  <c r="I17" i="2" s="1"/>
  <c r="T16" i="2"/>
  <c r="H14" i="2"/>
  <c r="I14" i="2" s="1"/>
  <c r="H13" i="2"/>
  <c r="I13" i="2" s="1"/>
  <c r="J15" i="2" l="1"/>
  <c r="J13" i="2"/>
  <c r="N22" i="2" l="1"/>
  <c r="N23" i="2" s="1"/>
  <c r="N24" i="2" s="1"/>
  <c r="N26" i="2" s="1"/>
  <c r="T15" i="2"/>
  <c r="T14" i="2"/>
  <c r="J22" i="2"/>
  <c r="J23" i="2" s="1"/>
  <c r="J24" i="2" s="1"/>
  <c r="J26" i="2" s="1"/>
  <c r="S22" i="2"/>
  <c r="S23" i="2" s="1"/>
  <c r="S24" i="2" s="1"/>
  <c r="T19" i="2"/>
  <c r="R22" i="2"/>
  <c r="L22" i="2"/>
  <c r="L23" i="2" s="1"/>
  <c r="L24" i="2" s="1"/>
  <c r="L26" i="2" s="1"/>
  <c r="K22" i="2"/>
  <c r="K23" i="2" s="1"/>
  <c r="K24" i="2" s="1"/>
  <c r="K26" i="2" s="1"/>
  <c r="M22" i="2"/>
  <c r="M23" i="2" s="1"/>
  <c r="M24" i="2" s="1"/>
  <c r="M26" i="2" s="1"/>
  <c r="T13" i="2"/>
  <c r="T17" i="2"/>
  <c r="O22" i="2"/>
  <c r="T21" i="2"/>
  <c r="Q22" i="2"/>
  <c r="P22" i="2"/>
  <c r="S26" i="2" l="1"/>
  <c r="R23" i="2"/>
  <c r="R24" i="2" s="1"/>
  <c r="R26" i="2" s="1"/>
  <c r="T22" i="2"/>
  <c r="Q23" i="2"/>
  <c r="Q24" i="2" s="1"/>
  <c r="Q26" i="2" s="1"/>
  <c r="O23" i="2"/>
  <c r="O24" i="2" s="1"/>
  <c r="O26" i="2" s="1"/>
  <c r="P23" i="2"/>
  <c r="P24" i="2" s="1"/>
  <c r="P26" i="2" s="1"/>
</calcChain>
</file>

<file path=xl/sharedStrings.xml><?xml version="1.0" encoding="utf-8"?>
<sst xmlns="http://schemas.openxmlformats.org/spreadsheetml/2006/main" count="52" uniqueCount="43">
  <si>
    <t>บริษัท พิชยมงคล คอนสตรัคชั่น จำกัด</t>
  </si>
  <si>
    <t>276/1 ซอยพุทธบูชา 36</t>
  </si>
  <si>
    <t xml:space="preserve"> แขวงบางมด  เขตทุ่งครุ กรุงเทพมหานคร 10140</t>
  </si>
  <si>
    <t>เลขประจำตัวผู้เสียภาษี 0125557002609</t>
  </si>
  <si>
    <t>ตาราง จ่ายงวดงาน ผู้รับเหมา</t>
  </si>
  <si>
    <t>Item</t>
  </si>
  <si>
    <t>Description</t>
  </si>
  <si>
    <t>Unit</t>
  </si>
  <si>
    <t>measurement</t>
  </si>
  <si>
    <t>Material Cost</t>
  </si>
  <si>
    <t>Labour Cost</t>
  </si>
  <si>
    <t>Total</t>
  </si>
  <si>
    <t>งวดที่ 1</t>
  </si>
  <si>
    <t>งวดที่ 2</t>
  </si>
  <si>
    <t>งวดที่ 3</t>
  </si>
  <si>
    <t>งวดที่ 4</t>
  </si>
  <si>
    <t>งวดที่ 5</t>
  </si>
  <si>
    <t>งวดที่ 6</t>
  </si>
  <si>
    <t>คงเหลือ</t>
  </si>
  <si>
    <t>Price/Unit</t>
  </si>
  <si>
    <t>Amont</t>
  </si>
  <si>
    <t>วันที่</t>
  </si>
  <si>
    <t>ราคางาน โครงสร้าง ชั้น 1+2</t>
  </si>
  <si>
    <t>งานโครงสร้างชั้น 1</t>
  </si>
  <si>
    <t>โครงสร้างชั้น 1</t>
  </si>
  <si>
    <t>ตรม.</t>
  </si>
  <si>
    <t>ม.</t>
  </si>
  <si>
    <t>โครงสร้างระเบียงเฉลียงไม่มีเสา</t>
  </si>
  <si>
    <t>งานโครงสร้างชั้น 2</t>
  </si>
  <si>
    <t>โครงสร้างชั้น 2</t>
  </si>
  <si>
    <t>ยอดหลัง หักประกัน 5%</t>
  </si>
  <si>
    <t>ยอดสุทธิ</t>
  </si>
  <si>
    <t>Advance</t>
  </si>
  <si>
    <t>งวดที่ 7</t>
  </si>
  <si>
    <t>งวดที่ 8</t>
  </si>
  <si>
    <t>งวดที่ 9</t>
  </si>
  <si>
    <t>งวดที่ 10</t>
  </si>
  <si>
    <t>โครงสร้างคานชั้น 2 เพิ่มเติม</t>
  </si>
  <si>
    <t>โครงสร้างคานชั้น1 เพิ่มเติม</t>
  </si>
  <si>
    <t>งานโครงสร้างชั้น 3 (คานหลังคาคอนกรีต)</t>
  </si>
  <si>
    <t>โครงสร้างคานหลังคา</t>
  </si>
  <si>
    <t>ประชาอุทิศ 13 แยก 1 (บ้านคุณกัน คุณฝน)</t>
  </si>
  <si>
    <t>ยอดหลัง หัก ณ ที่จ่าย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</si>
</sst>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ordia New"/>
      <family val="2"/>
    </font>
    <font>
      <sz val="18"/>
      <color theme="1"/>
      <name val="Cordia New"/>
      <family val="2"/>
    </font>
    <font>
      <b/>
      <sz val="16"/>
      <color rgb="FFFF0000"/>
      <name val="Cordia New"/>
      <family val="2"/>
    </font>
    <font>
      <sz val="18"/>
      <color rgb="FFFF0000"/>
      <name val="Cordia New"/>
      <family val="2"/>
    </font>
    <font>
      <b/>
      <sz val="16"/>
      <name val="Cordia New"/>
      <family val="2"/>
    </font>
    <font>
      <b/>
      <sz val="16"/>
      <color theme="1"/>
      <name val="Cordia New"/>
      <family val="2"/>
    </font>
    <font>
      <sz val="14"/>
      <name val="Cordia New"/>
      <family val="2"/>
    </font>
    <font>
      <sz val="16"/>
      <color theme="1"/>
      <name val="CordiaUPC"/>
      <family val="2"/>
    </font>
    <font>
      <sz val="16"/>
      <color rgb="FFFF0000"/>
      <name val="Cordia New"/>
      <family val="2"/>
    </font>
    <font>
      <sz val="16"/>
      <name val="Cordia New"/>
      <family val="2"/>
    </font>
    <font>
      <b/>
      <sz val="18"/>
      <color theme="1"/>
      <name val="Cordia New"/>
      <family val="2"/>
    </font>
    <font>
      <b/>
      <u val="singleAccounting"/>
      <sz val="16"/>
      <color rgb="FFFF0000"/>
      <name val="Cordia New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7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43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43" fontId="3" fillId="0" borderId="0" xfId="1" applyFont="1"/>
    <xf numFmtId="43" fontId="5" fillId="0" borderId="0" xfId="1" applyFont="1"/>
    <xf numFmtId="4" fontId="3" fillId="0" borderId="0" xfId="0" applyNumberFormat="1" applyFont="1"/>
    <xf numFmtId="0" fontId="3" fillId="0" borderId="0" xfId="0" applyFont="1"/>
    <xf numFmtId="0" fontId="6" fillId="0" borderId="0" xfId="0" applyFont="1"/>
    <xf numFmtId="43" fontId="5" fillId="2" borderId="2" xfId="1" applyFont="1" applyFill="1" applyBorder="1" applyAlignment="1">
      <alignment horizontal="center"/>
    </xf>
    <xf numFmtId="43" fontId="3" fillId="2" borderId="2" xfId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9" fontId="7" fillId="2" borderId="2" xfId="2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/>
    </xf>
    <xf numFmtId="43" fontId="7" fillId="3" borderId="2" xfId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43" fontId="8" fillId="0" borderId="2" xfId="1" applyFont="1" applyBorder="1" applyAlignment="1">
      <alignment horizontal="center"/>
    </xf>
    <xf numFmtId="43" fontId="8" fillId="0" borderId="2" xfId="1" applyFont="1" applyBorder="1"/>
    <xf numFmtId="43" fontId="5" fillId="0" borderId="2" xfId="1" applyFont="1" applyBorder="1"/>
    <xf numFmtId="4" fontId="8" fillId="0" borderId="0" xfId="0" applyNumberFormat="1" applyFont="1"/>
    <xf numFmtId="0" fontId="8" fillId="0" borderId="0" xfId="0" applyFont="1"/>
    <xf numFmtId="0" fontId="8" fillId="0" borderId="2" xfId="0" applyFont="1" applyBorder="1" applyAlignment="1">
      <alignment horizontal="left" vertical="top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 vertical="top"/>
    </xf>
    <xf numFmtId="43" fontId="8" fillId="3" borderId="2" xfId="1" applyFont="1" applyFill="1" applyBorder="1" applyAlignment="1">
      <alignment horizontal="center"/>
    </xf>
    <xf numFmtId="43" fontId="8" fillId="3" borderId="2" xfId="1" applyFont="1" applyFill="1" applyBorder="1"/>
    <xf numFmtId="43" fontId="5" fillId="3" borderId="2" xfId="1" applyFont="1" applyFill="1" applyBorder="1"/>
    <xf numFmtId="0" fontId="3" fillId="0" borderId="4" xfId="0" applyFont="1" applyBorder="1" applyAlignment="1">
      <alignment horizontal="center"/>
    </xf>
    <xf numFmtId="43" fontId="3" fillId="4" borderId="4" xfId="1" applyFont="1" applyFill="1" applyBorder="1" applyAlignment="1">
      <alignment horizontal="center" vertical="center"/>
    </xf>
    <xf numFmtId="43" fontId="10" fillId="0" borderId="4" xfId="1" applyFont="1" applyBorder="1" applyAlignment="1">
      <alignment horizontal="center"/>
    </xf>
    <xf numFmtId="43" fontId="8" fillId="0" borderId="4" xfId="1" applyFont="1" applyBorder="1"/>
    <xf numFmtId="43" fontId="3" fillId="0" borderId="4" xfId="1" applyFont="1" applyBorder="1"/>
    <xf numFmtId="43" fontId="3" fillId="4" borderId="4" xfId="1" applyFont="1" applyFill="1" applyBorder="1" applyAlignment="1">
      <alignment vertical="center"/>
    </xf>
    <xf numFmtId="43" fontId="3" fillId="0" borderId="4" xfId="1" applyFont="1" applyBorder="1" applyAlignment="1">
      <alignment vertical="center"/>
    </xf>
    <xf numFmtId="43" fontId="5" fillId="0" borderId="4" xfId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43" fontId="3" fillId="4" borderId="2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3" fontId="3" fillId="0" borderId="3" xfId="1" applyFont="1" applyBorder="1"/>
    <xf numFmtId="43" fontId="3" fillId="0" borderId="2" xfId="1" applyFont="1" applyBorder="1"/>
    <xf numFmtId="43" fontId="3" fillId="4" borderId="2" xfId="1" applyFont="1" applyFill="1" applyBorder="1" applyAlignment="1">
      <alignment vertical="center"/>
    </xf>
    <xf numFmtId="0" fontId="12" fillId="4" borderId="2" xfId="0" applyFont="1" applyFill="1" applyBorder="1" applyAlignment="1">
      <alignment horizontal="center"/>
    </xf>
    <xf numFmtId="43" fontId="10" fillId="0" borderId="2" xfId="1" applyFont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43" fontId="3" fillId="3" borderId="2" xfId="1" applyFont="1" applyFill="1" applyBorder="1" applyAlignment="1">
      <alignment horizontal="center" vertical="center"/>
    </xf>
    <xf numFmtId="43" fontId="10" fillId="3" borderId="2" xfId="1" applyFont="1" applyFill="1" applyBorder="1" applyAlignment="1">
      <alignment horizontal="center"/>
    </xf>
    <xf numFmtId="43" fontId="3" fillId="3" borderId="3" xfId="1" applyFont="1" applyFill="1" applyBorder="1"/>
    <xf numFmtId="43" fontId="3" fillId="3" borderId="2" xfId="1" applyFont="1" applyFill="1" applyBorder="1" applyAlignment="1">
      <alignment vertical="center"/>
    </xf>
    <xf numFmtId="43" fontId="3" fillId="3" borderId="2" xfId="1" applyFont="1" applyFill="1" applyBorder="1"/>
    <xf numFmtId="43" fontId="11" fillId="4" borderId="2" xfId="1" applyFont="1" applyFill="1" applyBorder="1"/>
    <xf numFmtId="43" fontId="13" fillId="5" borderId="2" xfId="1" applyFont="1" applyFill="1" applyBorder="1" applyAlignment="1">
      <alignment vertical="center"/>
    </xf>
    <xf numFmtId="43" fontId="5" fillId="5" borderId="2" xfId="1" applyFont="1" applyFill="1" applyBorder="1"/>
    <xf numFmtId="43" fontId="8" fillId="5" borderId="2" xfId="1" applyFont="1" applyFill="1" applyBorder="1"/>
    <xf numFmtId="43" fontId="3" fillId="0" borderId="0" xfId="1" applyFont="1" applyAlignment="1">
      <alignment horizontal="center"/>
    </xf>
    <xf numFmtId="43" fontId="7" fillId="0" borderId="0" xfId="1" applyFont="1"/>
    <xf numFmtId="9" fontId="7" fillId="2" borderId="2" xfId="1" applyNumberFormat="1" applyFont="1" applyFill="1" applyBorder="1" applyAlignment="1">
      <alignment horizontal="center"/>
    </xf>
    <xf numFmtId="43" fontId="14" fillId="0" borderId="0" xfId="1" applyFont="1" applyFill="1"/>
    <xf numFmtId="43" fontId="12" fillId="4" borderId="2" xfId="1" applyFont="1" applyFill="1" applyBorder="1" applyAlignment="1">
      <alignment vertical="center"/>
    </xf>
    <xf numFmtId="43" fontId="11" fillId="0" borderId="0" xfId="1" applyFont="1"/>
    <xf numFmtId="0" fontId="10" fillId="0" borderId="2" xfId="0" applyFont="1" applyBorder="1"/>
    <xf numFmtId="0" fontId="10" fillId="0" borderId="5" xfId="3" applyFont="1" applyBorder="1"/>
    <xf numFmtId="43" fontId="3" fillId="2" borderId="2" xfId="1" applyFont="1" applyFill="1" applyBorder="1" applyAlignment="1">
      <alignment horizontal="center" wrapText="1"/>
    </xf>
    <xf numFmtId="43" fontId="3" fillId="2" borderId="2" xfId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right" wrapText="1"/>
    </xf>
    <xf numFmtId="0" fontId="2" fillId="5" borderId="7" xfId="0" applyFont="1" applyFill="1" applyBorder="1" applyAlignment="1">
      <alignment horizontal="right" wrapText="1"/>
    </xf>
    <xf numFmtId="0" fontId="2" fillId="5" borderId="8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Percent" xfId="2" builtinId="5"/>
    <cellStyle name="ปกติ_เทคนิคการวางระบบบัญชี" xfId="3" xr:uid="{295C198E-2486-4FCF-9CAD-3E8D11F9CD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309562</xdr:colOff>
      <xdr:row>0</xdr:row>
      <xdr:rowOff>304083</xdr:rowOff>
    </xdr:from>
    <xdr:to>
      <xdr:col>20</xdr:col>
      <xdr:colOff>136638</xdr:colOff>
      <xdr:row>4</xdr:row>
      <xdr:rowOff>158410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4F4F0-6B05-4768-B227-767233004B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38" t="40128" r="11449" b="39808"/>
        <a:stretch/>
      </xdr:blipFill>
      <xdr:spPr>
        <a:xfrm>
          <a:off x="17606962" y="304083"/>
          <a:ext cx="4018076" cy="1225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B4D1-E7E0-4D81-B187-7A2F27E1D3C4}">
  <sheetPr>
    <pageSetUpPr fitToPage="1"/>
  </sheetPr>
  <dimension ref="A2:X26"/>
  <sheetViews>
    <sheetView showGridLines="0" tabSelected="1" zoomScale="78" zoomScaleNormal="78" workbookViewId="0">
      <selection activeCell="J26" sqref="J26"/>
    </sheetView>
  </sheetViews>
  <sheetFormatPr defaultColWidth="9.140625" defaultRowHeight="24.95" customHeight="1" x14ac:dyDescent="0.55000000000000004"/>
  <cols>
    <col min="1" max="1" width="8.7109375" style="1" customWidth="1"/>
    <col min="2" max="2" width="40.7109375" style="8" customWidth="1"/>
    <col min="3" max="3" width="10.7109375" style="58" customWidth="1"/>
    <col min="4" max="4" width="13.7109375" style="1" customWidth="1"/>
    <col min="5" max="8" width="12.7109375" style="5" customWidth="1"/>
    <col min="9" max="9" width="24.7109375" style="5" customWidth="1"/>
    <col min="10" max="19" width="15.7109375" style="6" customWidth="1"/>
    <col min="20" max="20" width="15.7109375" style="5" customWidth="1"/>
    <col min="21" max="24" width="15.7109375" style="7" customWidth="1"/>
    <col min="25" max="16384" width="9.140625" style="8"/>
  </cols>
  <sheetData>
    <row r="2" spans="1:24" ht="27.75" x14ac:dyDescent="0.65">
      <c r="A2" s="2" t="s">
        <v>0</v>
      </c>
      <c r="C2" s="3"/>
      <c r="D2" s="4"/>
    </row>
    <row r="3" spans="1:24" ht="27.75" x14ac:dyDescent="0.65">
      <c r="A3" s="2" t="s">
        <v>1</v>
      </c>
      <c r="C3" s="3"/>
      <c r="D3" s="4"/>
    </row>
    <row r="4" spans="1:24" ht="27.75" x14ac:dyDescent="0.65">
      <c r="A4" s="2" t="s">
        <v>2</v>
      </c>
      <c r="C4" s="3"/>
      <c r="D4" s="4"/>
    </row>
    <row r="5" spans="1:24" ht="27.75" x14ac:dyDescent="0.65">
      <c r="A5" s="2" t="s">
        <v>3</v>
      </c>
      <c r="C5" s="3"/>
      <c r="D5" s="4"/>
    </row>
    <row r="6" spans="1:24" ht="27.75" x14ac:dyDescent="0.65">
      <c r="A6" s="9" t="s">
        <v>4</v>
      </c>
      <c r="C6" s="71"/>
      <c r="D6" s="71"/>
    </row>
    <row r="7" spans="1:24" s="1" customFormat="1" ht="24" x14ac:dyDescent="0.55000000000000004">
      <c r="A7" s="72" t="s">
        <v>5</v>
      </c>
      <c r="B7" s="72" t="s">
        <v>6</v>
      </c>
      <c r="C7" s="67" t="s">
        <v>7</v>
      </c>
      <c r="D7" s="73" t="s">
        <v>8</v>
      </c>
      <c r="E7" s="66" t="s">
        <v>9</v>
      </c>
      <c r="F7" s="66"/>
      <c r="G7" s="66" t="s">
        <v>10</v>
      </c>
      <c r="H7" s="66"/>
      <c r="I7" s="67" t="s">
        <v>11</v>
      </c>
      <c r="J7" s="10" t="s">
        <v>12</v>
      </c>
      <c r="K7" s="10" t="s">
        <v>13</v>
      </c>
      <c r="L7" s="10" t="s">
        <v>14</v>
      </c>
      <c r="M7" s="10" t="s">
        <v>15</v>
      </c>
      <c r="N7" s="10" t="s">
        <v>16</v>
      </c>
      <c r="O7" s="10" t="s">
        <v>17</v>
      </c>
      <c r="P7" s="10" t="s">
        <v>33</v>
      </c>
      <c r="Q7" s="10" t="s">
        <v>34</v>
      </c>
      <c r="R7" s="10" t="s">
        <v>35</v>
      </c>
      <c r="S7" s="10" t="s">
        <v>36</v>
      </c>
      <c r="T7" s="11" t="s">
        <v>18</v>
      </c>
      <c r="U7" s="12"/>
      <c r="V7" s="12"/>
      <c r="W7" s="12"/>
      <c r="X7" s="12"/>
    </row>
    <row r="8" spans="1:24" s="1" customFormat="1" ht="24" x14ac:dyDescent="0.55000000000000004">
      <c r="A8" s="72"/>
      <c r="B8" s="72"/>
      <c r="C8" s="67"/>
      <c r="D8" s="74"/>
      <c r="E8" s="11" t="s">
        <v>19</v>
      </c>
      <c r="F8" s="11" t="s">
        <v>20</v>
      </c>
      <c r="G8" s="11" t="s">
        <v>19</v>
      </c>
      <c r="H8" s="11" t="s">
        <v>20</v>
      </c>
      <c r="I8" s="67"/>
      <c r="J8" s="60">
        <v>0.25</v>
      </c>
      <c r="K8" s="60">
        <v>0.25</v>
      </c>
      <c r="L8" s="60">
        <v>0.25</v>
      </c>
      <c r="M8" s="60">
        <v>0.25</v>
      </c>
      <c r="N8" s="60">
        <v>0.25</v>
      </c>
      <c r="O8" s="60">
        <v>0.25</v>
      </c>
      <c r="P8" s="60">
        <v>0.25</v>
      </c>
      <c r="Q8" s="60">
        <v>0.25</v>
      </c>
      <c r="R8" s="13">
        <v>0.5</v>
      </c>
      <c r="S8" s="13">
        <v>0.5</v>
      </c>
      <c r="T8" s="11"/>
      <c r="V8" s="12"/>
      <c r="W8" s="12"/>
      <c r="X8" s="12"/>
    </row>
    <row r="9" spans="1:24" s="1" customFormat="1" ht="24" x14ac:dyDescent="0.55000000000000004">
      <c r="A9" s="14"/>
      <c r="B9" s="14"/>
      <c r="C9" s="15"/>
      <c r="D9" s="14"/>
      <c r="E9" s="16"/>
      <c r="F9" s="16"/>
      <c r="G9" s="16"/>
      <c r="H9" s="16"/>
      <c r="I9" s="15" t="s">
        <v>21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6"/>
      <c r="V9" s="12"/>
      <c r="W9" s="12"/>
      <c r="X9" s="12"/>
    </row>
    <row r="10" spans="1:24" s="24" customFormat="1" ht="24" x14ac:dyDescent="0.55000000000000004">
      <c r="A10" s="18"/>
      <c r="B10" s="19" t="s">
        <v>22</v>
      </c>
      <c r="C10" s="20"/>
      <c r="D10" s="18"/>
      <c r="E10" s="21"/>
      <c r="F10" s="21"/>
      <c r="G10" s="21"/>
      <c r="H10" s="21"/>
      <c r="I10" s="2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1"/>
      <c r="U10" s="12"/>
      <c r="V10" s="23"/>
      <c r="W10" s="23"/>
      <c r="X10" s="23"/>
    </row>
    <row r="11" spans="1:24" s="24" customFormat="1" ht="23.25" x14ac:dyDescent="0.5">
      <c r="A11" s="18"/>
      <c r="B11" s="25" t="s">
        <v>41</v>
      </c>
      <c r="C11" s="20"/>
      <c r="D11" s="18"/>
      <c r="E11" s="21"/>
      <c r="F11" s="21"/>
      <c r="G11" s="21"/>
      <c r="H11" s="21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1"/>
      <c r="U11" s="23"/>
      <c r="V11" s="23"/>
      <c r="W11" s="23"/>
      <c r="X11" s="23"/>
    </row>
    <row r="12" spans="1:24" s="24" customFormat="1" ht="23.25" x14ac:dyDescent="0.5">
      <c r="A12" s="26">
        <v>1</v>
      </c>
      <c r="B12" s="27" t="s">
        <v>23</v>
      </c>
      <c r="C12" s="28"/>
      <c r="D12" s="26"/>
      <c r="E12" s="29"/>
      <c r="F12" s="29"/>
      <c r="G12" s="29"/>
      <c r="H12" s="29"/>
      <c r="I12" s="29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29"/>
      <c r="U12" s="23"/>
      <c r="V12" s="23"/>
      <c r="W12" s="23"/>
      <c r="X12" s="23"/>
    </row>
    <row r="13" spans="1:24" ht="24" x14ac:dyDescent="0.55000000000000004">
      <c r="A13" s="31"/>
      <c r="B13" s="65" t="s">
        <v>24</v>
      </c>
      <c r="C13" s="32">
        <v>160.49</v>
      </c>
      <c r="D13" s="33" t="s">
        <v>25</v>
      </c>
      <c r="E13" s="34"/>
      <c r="F13" s="35"/>
      <c r="G13" s="36">
        <v>1000</v>
      </c>
      <c r="H13" s="35">
        <f>G13*C13</f>
        <v>160490</v>
      </c>
      <c r="I13" s="37">
        <f>F13+H13</f>
        <v>160490</v>
      </c>
      <c r="J13" s="38">
        <f>I13*0.25</f>
        <v>40122.5</v>
      </c>
      <c r="K13" s="38"/>
      <c r="L13" s="38"/>
      <c r="M13" s="38"/>
      <c r="N13" s="38"/>
      <c r="O13" s="38"/>
      <c r="P13" s="38"/>
      <c r="Q13" s="38"/>
      <c r="R13" s="38"/>
      <c r="S13" s="38"/>
      <c r="T13" s="35">
        <f>I13-J13-K13-L13-M13</f>
        <v>120367.5</v>
      </c>
    </row>
    <row r="14" spans="1:24" ht="24" x14ac:dyDescent="0.55000000000000004">
      <c r="A14" s="39"/>
      <c r="B14" s="64" t="s">
        <v>38</v>
      </c>
      <c r="C14" s="41">
        <v>1.6</v>
      </c>
      <c r="D14" s="42" t="s">
        <v>26</v>
      </c>
      <c r="E14" s="43"/>
      <c r="F14" s="43"/>
      <c r="G14" s="62">
        <v>550</v>
      </c>
      <c r="H14" s="44">
        <f t="shared" ref="H14:H19" si="0">G14*C14</f>
        <v>880</v>
      </c>
      <c r="I14" s="37">
        <f t="shared" ref="I14:I21" si="1">F14+H14</f>
        <v>880</v>
      </c>
      <c r="J14" s="38">
        <f>I14*0.25</f>
        <v>220</v>
      </c>
      <c r="K14" s="38"/>
      <c r="L14" s="38"/>
      <c r="M14" s="38"/>
      <c r="N14" s="22"/>
      <c r="O14" s="22"/>
      <c r="P14" s="22"/>
      <c r="Q14" s="22"/>
      <c r="R14" s="22"/>
      <c r="S14" s="22"/>
      <c r="T14" s="35">
        <f t="shared" ref="T14:T16" si="2">I14-J14-K14-L14-M14</f>
        <v>660</v>
      </c>
    </row>
    <row r="15" spans="1:24" ht="24" x14ac:dyDescent="0.55000000000000004">
      <c r="A15" s="46"/>
      <c r="B15" s="64" t="s">
        <v>27</v>
      </c>
      <c r="C15" s="41">
        <v>9.9499999999999993</v>
      </c>
      <c r="D15" s="47" t="s">
        <v>25</v>
      </c>
      <c r="E15" s="43"/>
      <c r="F15" s="43"/>
      <c r="G15" s="45">
        <v>750</v>
      </c>
      <c r="H15" s="44">
        <f t="shared" si="0"/>
        <v>7462.4999999999991</v>
      </c>
      <c r="I15" s="37">
        <f t="shared" si="1"/>
        <v>7462.4999999999991</v>
      </c>
      <c r="J15" s="38">
        <f t="shared" ref="J15" si="3">I15*0.25</f>
        <v>1865.6249999999998</v>
      </c>
      <c r="K15" s="38"/>
      <c r="L15" s="38"/>
      <c r="M15" s="38"/>
      <c r="N15" s="22"/>
      <c r="O15" s="22"/>
      <c r="P15" s="22"/>
      <c r="Q15" s="22"/>
      <c r="R15" s="22"/>
      <c r="S15" s="22"/>
      <c r="T15" s="35">
        <f t="shared" si="2"/>
        <v>5596.8749999999991</v>
      </c>
    </row>
    <row r="16" spans="1:24" ht="24" x14ac:dyDescent="0.55000000000000004">
      <c r="A16" s="48">
        <v>2</v>
      </c>
      <c r="B16" s="27" t="s">
        <v>28</v>
      </c>
      <c r="C16" s="49"/>
      <c r="D16" s="50"/>
      <c r="E16" s="51"/>
      <c r="F16" s="51"/>
      <c r="G16" s="52"/>
      <c r="H16" s="53"/>
      <c r="I16" s="52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53">
        <f t="shared" si="2"/>
        <v>0</v>
      </c>
    </row>
    <row r="17" spans="1:24" ht="24" x14ac:dyDescent="0.55000000000000004">
      <c r="A17" s="39"/>
      <c r="B17" s="40" t="s">
        <v>29</v>
      </c>
      <c r="C17" s="41">
        <v>154.02000000000001</v>
      </c>
      <c r="D17" s="47" t="s">
        <v>25</v>
      </c>
      <c r="E17" s="54"/>
      <c r="F17" s="54"/>
      <c r="G17" s="45">
        <v>1000</v>
      </c>
      <c r="H17" s="44">
        <f t="shared" si="0"/>
        <v>154020</v>
      </c>
      <c r="I17" s="37">
        <f t="shared" si="1"/>
        <v>154020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44">
        <f>I17-N17-O17-P17-Q17</f>
        <v>154020</v>
      </c>
    </row>
    <row r="18" spans="1:24" ht="24" x14ac:dyDescent="0.55000000000000004">
      <c r="A18" s="39"/>
      <c r="B18" s="40" t="s">
        <v>37</v>
      </c>
      <c r="C18" s="41">
        <v>7.3</v>
      </c>
      <c r="D18" s="42" t="s">
        <v>26</v>
      </c>
      <c r="E18" s="54"/>
      <c r="F18" s="54"/>
      <c r="G18" s="45">
        <v>550</v>
      </c>
      <c r="H18" s="44">
        <f t="shared" si="0"/>
        <v>4015</v>
      </c>
      <c r="I18" s="37">
        <f t="shared" si="1"/>
        <v>4015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44"/>
    </row>
    <row r="19" spans="1:24" ht="24" x14ac:dyDescent="0.55000000000000004">
      <c r="A19" s="39"/>
      <c r="B19" s="40" t="s">
        <v>27</v>
      </c>
      <c r="C19" s="41">
        <v>11.65</v>
      </c>
      <c r="D19" s="47" t="s">
        <v>25</v>
      </c>
      <c r="E19" s="54"/>
      <c r="F19" s="54"/>
      <c r="G19" s="45">
        <v>750</v>
      </c>
      <c r="H19" s="44">
        <f t="shared" si="0"/>
        <v>8737.5</v>
      </c>
      <c r="I19" s="37">
        <f t="shared" si="1"/>
        <v>8737.5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44">
        <f t="shared" ref="T19" si="4">I19-N19-O19-P19-Q19</f>
        <v>8737.5</v>
      </c>
    </row>
    <row r="20" spans="1:24" ht="24" x14ac:dyDescent="0.55000000000000004">
      <c r="A20" s="48">
        <v>3</v>
      </c>
      <c r="B20" s="27" t="s">
        <v>39</v>
      </c>
      <c r="C20" s="49"/>
      <c r="D20" s="50"/>
      <c r="E20" s="51"/>
      <c r="F20" s="51"/>
      <c r="G20" s="52"/>
      <c r="H20" s="53"/>
      <c r="I20" s="52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53"/>
    </row>
    <row r="21" spans="1:24" ht="24" x14ac:dyDescent="0.55000000000000004">
      <c r="A21" s="39"/>
      <c r="B21" s="64" t="s">
        <v>40</v>
      </c>
      <c r="C21" s="41">
        <v>108.149</v>
      </c>
      <c r="D21" s="42" t="s">
        <v>26</v>
      </c>
      <c r="E21" s="54"/>
      <c r="F21" s="54"/>
      <c r="G21" s="45">
        <v>550</v>
      </c>
      <c r="H21" s="44">
        <f>G21*C21</f>
        <v>59481.95</v>
      </c>
      <c r="I21" s="37">
        <f t="shared" si="1"/>
        <v>59481.95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44">
        <f>I21-R21-S21</f>
        <v>59481.95</v>
      </c>
    </row>
    <row r="22" spans="1:24" s="24" customFormat="1" ht="26.25" x14ac:dyDescent="0.5">
      <c r="A22" s="68" t="s">
        <v>11</v>
      </c>
      <c r="B22" s="69"/>
      <c r="C22" s="69"/>
      <c r="D22" s="69"/>
      <c r="E22" s="69"/>
      <c r="F22" s="69"/>
      <c r="G22" s="69"/>
      <c r="H22" s="70"/>
      <c r="I22" s="55">
        <f t="shared" ref="I22:T22" si="5">SUM(I13:I21)</f>
        <v>395086.95</v>
      </c>
      <c r="J22" s="56">
        <f t="shared" si="5"/>
        <v>42208.125</v>
      </c>
      <c r="K22" s="56">
        <f t="shared" si="5"/>
        <v>0</v>
      </c>
      <c r="L22" s="56">
        <f t="shared" si="5"/>
        <v>0</v>
      </c>
      <c r="M22" s="56">
        <f t="shared" si="5"/>
        <v>0</v>
      </c>
      <c r="N22" s="56">
        <f t="shared" si="5"/>
        <v>0</v>
      </c>
      <c r="O22" s="56">
        <f t="shared" si="5"/>
        <v>0</v>
      </c>
      <c r="P22" s="56">
        <f t="shared" si="5"/>
        <v>0</v>
      </c>
      <c r="Q22" s="56">
        <f t="shared" si="5"/>
        <v>0</v>
      </c>
      <c r="R22" s="56">
        <f t="shared" si="5"/>
        <v>0</v>
      </c>
      <c r="S22" s="56">
        <f t="shared" si="5"/>
        <v>0</v>
      </c>
      <c r="T22" s="57">
        <f t="shared" si="5"/>
        <v>348863.82500000001</v>
      </c>
      <c r="U22" s="23"/>
      <c r="V22" s="23"/>
      <c r="W22" s="23"/>
      <c r="X22" s="23"/>
    </row>
    <row r="23" spans="1:24" ht="24" x14ac:dyDescent="0.55000000000000004">
      <c r="I23" s="5" t="s">
        <v>30</v>
      </c>
      <c r="J23" s="59">
        <f>J22*0.95</f>
        <v>40097.71875</v>
      </c>
      <c r="K23" s="59">
        <f>K22*0.95</f>
        <v>0</v>
      </c>
      <c r="L23" s="59">
        <f t="shared" ref="L23:S23" si="6">L22*0.95</f>
        <v>0</v>
      </c>
      <c r="M23" s="59">
        <f t="shared" si="6"/>
        <v>0</v>
      </c>
      <c r="N23" s="59">
        <f t="shared" si="6"/>
        <v>0</v>
      </c>
      <c r="O23" s="59">
        <f t="shared" si="6"/>
        <v>0</v>
      </c>
      <c r="P23" s="59">
        <f t="shared" si="6"/>
        <v>0</v>
      </c>
      <c r="Q23" s="59">
        <f t="shared" si="6"/>
        <v>0</v>
      </c>
      <c r="R23" s="59">
        <f t="shared" si="6"/>
        <v>0</v>
      </c>
      <c r="S23" s="59">
        <f t="shared" si="6"/>
        <v>0</v>
      </c>
    </row>
    <row r="24" spans="1:24" ht="24" x14ac:dyDescent="0.55000000000000004">
      <c r="I24" s="5" t="s">
        <v>42</v>
      </c>
      <c r="J24" s="59">
        <f>J23*0.97</f>
        <v>38894.787187499998</v>
      </c>
      <c r="K24" s="59">
        <f t="shared" ref="K24:S24" si="7">K23*0.97</f>
        <v>0</v>
      </c>
      <c r="L24" s="59">
        <f t="shared" si="7"/>
        <v>0</v>
      </c>
      <c r="M24" s="59">
        <f t="shared" si="7"/>
        <v>0</v>
      </c>
      <c r="N24" s="59">
        <f t="shared" si="7"/>
        <v>0</v>
      </c>
      <c r="O24" s="59">
        <f t="shared" si="7"/>
        <v>0</v>
      </c>
      <c r="P24" s="59">
        <f t="shared" si="7"/>
        <v>0</v>
      </c>
      <c r="Q24" s="59">
        <f t="shared" si="7"/>
        <v>0</v>
      </c>
      <c r="R24" s="59">
        <f t="shared" si="7"/>
        <v>0</v>
      </c>
      <c r="S24" s="59">
        <f t="shared" si="7"/>
        <v>0</v>
      </c>
    </row>
    <row r="25" spans="1:24" ht="24" x14ac:dyDescent="0.55000000000000004">
      <c r="I25" s="63" t="s">
        <v>32</v>
      </c>
      <c r="K25" s="59"/>
      <c r="L25" s="59"/>
      <c r="M25" s="59"/>
      <c r="N25" s="59"/>
      <c r="O25" s="59"/>
      <c r="P25" s="59"/>
      <c r="Q25" s="59"/>
      <c r="R25" s="59"/>
      <c r="S25" s="59"/>
    </row>
    <row r="26" spans="1:24" ht="25.5" x14ac:dyDescent="0.65">
      <c r="I26" s="5" t="s">
        <v>31</v>
      </c>
      <c r="J26" s="61">
        <f>J24-J25</f>
        <v>38894.787187499998</v>
      </c>
      <c r="K26" s="61">
        <f t="shared" ref="K26:S26" si="8">K24-K25</f>
        <v>0</v>
      </c>
      <c r="L26" s="61">
        <f t="shared" si="8"/>
        <v>0</v>
      </c>
      <c r="M26" s="61">
        <f t="shared" si="8"/>
        <v>0</v>
      </c>
      <c r="N26" s="61">
        <f t="shared" si="8"/>
        <v>0</v>
      </c>
      <c r="O26" s="61">
        <f t="shared" si="8"/>
        <v>0</v>
      </c>
      <c r="P26" s="61">
        <f t="shared" si="8"/>
        <v>0</v>
      </c>
      <c r="Q26" s="61">
        <f t="shared" si="8"/>
        <v>0</v>
      </c>
      <c r="R26" s="61">
        <f t="shared" si="8"/>
        <v>0</v>
      </c>
      <c r="S26" s="61">
        <f t="shared" si="8"/>
        <v>0</v>
      </c>
    </row>
  </sheetData>
  <mergeCells count="9">
    <mergeCell ref="G7:H7"/>
    <mergeCell ref="I7:I8"/>
    <mergeCell ref="A22:H22"/>
    <mergeCell ref="C6:D6"/>
    <mergeCell ref="A7:A8"/>
    <mergeCell ref="B7:B8"/>
    <mergeCell ref="C7:C8"/>
    <mergeCell ref="D7:D8"/>
    <mergeCell ref="E7:F7"/>
  </mergeCells>
  <pageMargins left="0.7" right="0.7" top="0.75" bottom="0.75" header="0.3" footer="0.3"/>
  <pageSetup scale="38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saruta leecharoen</dc:creator>
  <cp:lastModifiedBy>Mubin samoh</cp:lastModifiedBy>
  <cp:lastPrinted>2026-04-22T08:06:16Z</cp:lastPrinted>
  <dcterms:created xsi:type="dcterms:W3CDTF">2025-05-22T06:39:32Z</dcterms:created>
  <dcterms:modified xsi:type="dcterms:W3CDTF">2026-05-12T07:33:54Z</dcterms:modified>
</cp:coreProperties>
</file>